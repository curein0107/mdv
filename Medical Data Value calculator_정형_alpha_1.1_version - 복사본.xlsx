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ha_Research_Project\R&amp;D Project\Progress Project\헬스 데이터 유통 플랫폼\Research Part\R3_2024_의료데이터에 대한 가치 산정 방법\Design of Medical Data Value\"/>
    </mc:Choice>
  </mc:AlternateContent>
  <xr:revisionPtr revIDLastSave="0" documentId="13_ncr:1_{8C49AD9F-F747-4D4F-AC4A-5AC1EDDA09D8}" xr6:coauthVersionLast="47" xr6:coauthVersionMax="47" xr10:uidLastSave="{00000000-0000-0000-0000-000000000000}"/>
  <bookViews>
    <workbookView xWindow="-108" yWindow="-108" windowWidth="30936" windowHeight="18696" xr2:uid="{FB48F14E-7040-480A-B09E-C61BD43B2B91}"/>
  </bookViews>
  <sheets>
    <sheet name="정형_데이터_진단_검사" sheetId="10" r:id="rId1"/>
  </sheets>
  <definedNames>
    <definedName name="_xlnm._FilterDatabase" localSheetId="0" hidden="1">정형_데이터_진단_검사!#REF!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0" l="1"/>
  <c r="E13" i="10" l="1"/>
  <c r="E6" i="10"/>
  <c r="D12" i="10"/>
  <c r="F5" i="10"/>
  <c r="F6" i="10" l="1"/>
  <c r="F7" i="10" s="1"/>
  <c r="F9" i="10" s="1"/>
  <c r="F10" i="10" s="1"/>
  <c r="F11" i="10" s="1"/>
  <c r="F12" i="10" s="1"/>
  <c r="F13" i="10" l="1"/>
  <c r="F14" i="10" s="1"/>
  <c r="F16" i="10" s="1"/>
  <c r="F17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DDB9A4-4F3C-4443-9BFD-975C8FEB8F92}" keepAlive="1" name="쿼리 - 표4" description="통합 문서의 '표4' 쿼리에 대한 연결입니다." type="5" refreshedVersion="0" background="1">
    <dbPr connection="Provider=Microsoft.Mashup.OleDb.1;Data Source=$Workbook$;Location=표4;Extended Properties=&quot;&quot;" command="SELECT * FROM [표4]"/>
  </connection>
</connections>
</file>

<file path=xl/sharedStrings.xml><?xml version="1.0" encoding="utf-8"?>
<sst xmlns="http://schemas.openxmlformats.org/spreadsheetml/2006/main" count="2090" uniqueCount="1421">
  <si>
    <t>항목</t>
    <phoneticPr fontId="1" type="noConversion"/>
  </si>
  <si>
    <t>세목</t>
    <phoneticPr fontId="1" type="noConversion"/>
  </si>
  <si>
    <t>품질가중치</t>
    <phoneticPr fontId="1" type="noConversion"/>
  </si>
  <si>
    <t>가중치</t>
    <phoneticPr fontId="1" type="noConversion"/>
  </si>
  <si>
    <t>희소가중치</t>
    <phoneticPr fontId="1" type="noConversion"/>
  </si>
  <si>
    <t>효과성가중치</t>
    <phoneticPr fontId="1" type="noConversion"/>
  </si>
  <si>
    <t>유통수수료에 대한 가중치</t>
    <phoneticPr fontId="1" type="noConversion"/>
  </si>
  <si>
    <t>법정 세금에 따른 가중치</t>
    <phoneticPr fontId="1" type="noConversion"/>
  </si>
  <si>
    <t>단가</t>
    <phoneticPr fontId="1" type="noConversion"/>
  </si>
  <si>
    <t>규모</t>
    <phoneticPr fontId="1" type="noConversion"/>
  </si>
  <si>
    <t>의원_소상공인</t>
  </si>
  <si>
    <t>의원_소상공인</t>
    <phoneticPr fontId="1" type="noConversion"/>
  </si>
  <si>
    <t>병원_소기업</t>
    <phoneticPr fontId="1" type="noConversion"/>
  </si>
  <si>
    <t>종합병원_중기업</t>
    <phoneticPr fontId="1" type="noConversion"/>
  </si>
  <si>
    <t>상급종합병원_대기업</t>
    <phoneticPr fontId="1" type="noConversion"/>
  </si>
  <si>
    <t>행위</t>
    <phoneticPr fontId="1" type="noConversion"/>
  </si>
  <si>
    <t>근거</t>
    <phoneticPr fontId="1" type="noConversion"/>
  </si>
  <si>
    <t>-</t>
    <phoneticPr fontId="1" type="noConversion"/>
  </si>
  <si>
    <t>https://www.koicd.kr/ins/act.do</t>
    <phoneticPr fontId="1" type="noConversion"/>
  </si>
  <si>
    <t>진찰료_판정료</t>
    <phoneticPr fontId="1" type="noConversion"/>
  </si>
  <si>
    <t>http://rulesvcmr.hira.or.kr/service/law/lawFullScreenContent.do?seq=269&amp;historySeq=17&amp;type=0</t>
    <phoneticPr fontId="1" type="noConversion"/>
  </si>
  <si>
    <t>의료 데이터 원가</t>
    <phoneticPr fontId="1" type="noConversion"/>
  </si>
  <si>
    <t>의료 데이터 원가=행위+규모+진찰료</t>
    <phoneticPr fontId="1" type="noConversion"/>
  </si>
  <si>
    <t>온전한 품질의 데이터만 상품으로서 취급해야하므로 가중치 산정 불필요</t>
    <phoneticPr fontId="1" type="noConversion"/>
  </si>
  <si>
    <t>비고</t>
    <phoneticPr fontId="1" type="noConversion"/>
  </si>
  <si>
    <t>G1</t>
    <phoneticPr fontId="1" type="noConversion"/>
  </si>
  <si>
    <t>분류</t>
    <phoneticPr fontId="1" type="noConversion"/>
  </si>
  <si>
    <t>G2</t>
  </si>
  <si>
    <t>G3</t>
  </si>
  <si>
    <t>G4</t>
  </si>
  <si>
    <t>G5</t>
  </si>
  <si>
    <t>매우 많음</t>
    <phoneticPr fontId="1" type="noConversion"/>
  </si>
  <si>
    <t>많은 편</t>
    <phoneticPr fontId="1" type="noConversion"/>
  </si>
  <si>
    <t>보통</t>
    <phoneticPr fontId="1" type="noConversion"/>
  </si>
  <si>
    <t>적은편</t>
    <phoneticPr fontId="1" type="noConversion"/>
  </si>
  <si>
    <t>매우 적음</t>
    <phoneticPr fontId="1" type="noConversion"/>
  </si>
  <si>
    <t>분포</t>
    <phoneticPr fontId="1" type="noConversion"/>
  </si>
  <si>
    <t>https://www.law.go.kr/%EB%B2%95%EB%A0%B9/%EB%B6%80%EA%B0%80%EA%B0%80%EC%B9%98%EC%84%B8%EB%B2%95</t>
    <phoneticPr fontId="1" type="noConversion"/>
  </si>
  <si>
    <t>https://www.law.go.kr/lumLsLinkPop.do?lspttninfSeq=61681&amp;chrClsCd=010202</t>
    <phoneticPr fontId="1" type="noConversion"/>
  </si>
  <si>
    <t>백일해</t>
  </si>
  <si>
    <t>발진티푸스</t>
  </si>
  <si>
    <t>비만</t>
  </si>
  <si>
    <t>파킨슨병</t>
  </si>
  <si>
    <t>녹내장</t>
  </si>
  <si>
    <t>폐색전증</t>
  </si>
  <si>
    <t>심부전</t>
  </si>
  <si>
    <t>뇌내출혈</t>
  </si>
  <si>
    <t>뇌경색증</t>
  </si>
  <si>
    <t>죽상경화증</t>
  </si>
  <si>
    <t>천식</t>
  </si>
  <si>
    <t>기관지확장증</t>
  </si>
  <si>
    <t>골수염</t>
  </si>
  <si>
    <t>방광염</t>
  </si>
  <si>
    <t>자궁내막증</t>
  </si>
  <si>
    <t>여성생식기탈출</t>
  </si>
  <si>
    <t>단일자연분만</t>
  </si>
  <si>
    <t>두개내손상</t>
  </si>
  <si>
    <t>부가가치세</t>
    <phoneticPr fontId="1" type="noConversion"/>
  </si>
  <si>
    <t>데이터 관리 유형</t>
    <phoneticPr fontId="1" type="noConversion"/>
  </si>
  <si>
    <t>정형</t>
    <phoneticPr fontId="1" type="noConversion"/>
  </si>
  <si>
    <t>비정형_x-ray</t>
    <phoneticPr fontId="1" type="noConversion"/>
  </si>
  <si>
    <t>비정형_음성</t>
    <phoneticPr fontId="1" type="noConversion"/>
  </si>
  <si>
    <t>비정형_영상</t>
    <phoneticPr fontId="1" type="noConversion"/>
  </si>
  <si>
    <t>비정형_유전체</t>
    <phoneticPr fontId="1" type="noConversion"/>
  </si>
  <si>
    <t>대용량의 특수한 데이터(유전체 등)일 경우 데이터 전달방식에 따른 가산</t>
    <phoneticPr fontId="1" type="noConversion"/>
  </si>
  <si>
    <t>동일한 가치를 가진 데이터 존재 비중에 따른 마이너스 가중치 적용, 희소한 데이터는 플러스 가중치 적용</t>
    <phoneticPr fontId="1" type="noConversion"/>
  </si>
  <si>
    <t>원본 데이터 저장 및 관리비</t>
    <phoneticPr fontId="1" type="noConversion"/>
  </si>
  <si>
    <t>인구사회적특성</t>
    <phoneticPr fontId="1" type="noConversion"/>
  </si>
  <si>
    <t>건강행태</t>
    <phoneticPr fontId="1" type="noConversion"/>
  </si>
  <si>
    <t>식습관</t>
    <phoneticPr fontId="1" type="noConversion"/>
  </si>
  <si>
    <t>정형_데이터</t>
    <phoneticPr fontId="1" type="noConversion"/>
  </si>
  <si>
    <t>기타</t>
    <phoneticPr fontId="1" type="noConversion"/>
  </si>
  <si>
    <t>정형 데이터_검사 1건의 최종 가격</t>
    <phoneticPr fontId="1" type="noConversion"/>
  </si>
  <si>
    <t>대조군의 정형 데이터_검사 1건의 최종 가격</t>
    <phoneticPr fontId="1" type="noConversion"/>
  </si>
  <si>
    <t>일반진단검사(혈액검사_소변검사)</t>
    <phoneticPr fontId="1" type="noConversion"/>
  </si>
  <si>
    <t>골밀도측정</t>
    <phoneticPr fontId="1" type="noConversion"/>
  </si>
  <si>
    <t>체성분검사</t>
    <phoneticPr fontId="1" type="noConversion"/>
  </si>
  <si>
    <t>갑상선기능검사</t>
    <phoneticPr fontId="1" type="noConversion"/>
  </si>
  <si>
    <t>종양표지자_남</t>
    <phoneticPr fontId="1" type="noConversion"/>
  </si>
  <si>
    <t>종양표지자_여</t>
    <phoneticPr fontId="1" type="noConversion"/>
  </si>
  <si>
    <t>A형간염</t>
    <phoneticPr fontId="1" type="noConversion"/>
  </si>
  <si>
    <t>B형간염</t>
    <phoneticPr fontId="1" type="noConversion"/>
  </si>
  <si>
    <t>심전도</t>
    <phoneticPr fontId="1" type="noConversion"/>
  </si>
  <si>
    <t>성병검사</t>
    <phoneticPr fontId="1" type="noConversion"/>
  </si>
  <si>
    <t>에이즈검사</t>
    <phoneticPr fontId="1" type="noConversion"/>
  </si>
  <si>
    <t>결핵</t>
    <phoneticPr fontId="1" type="noConversion"/>
  </si>
  <si>
    <t>구강진료</t>
    <phoneticPr fontId="1" type="noConversion"/>
  </si>
  <si>
    <t>1차진료</t>
    <phoneticPr fontId="1" type="noConversion"/>
  </si>
  <si>
    <t>한방진료</t>
    <phoneticPr fontId="1" type="noConversion"/>
  </si>
  <si>
    <t>예방접종</t>
    <phoneticPr fontId="1" type="noConversion"/>
  </si>
  <si>
    <t>진단_검사</t>
    <phoneticPr fontId="1" type="noConversion"/>
  </si>
  <si>
    <t>&gt;=6.00%</t>
    <phoneticPr fontId="1" type="noConversion"/>
  </si>
  <si>
    <t>3.00-5.00%</t>
    <phoneticPr fontId="1" type="noConversion"/>
  </si>
  <si>
    <t>많음</t>
    <phoneticPr fontId="1" type="noConversion"/>
  </si>
  <si>
    <t>1.00-2.00%</t>
    <phoneticPr fontId="1" type="noConversion"/>
  </si>
  <si>
    <t>0.70-0.99%</t>
    <phoneticPr fontId="1" type="noConversion"/>
  </si>
  <si>
    <t>0.40-0.69%</t>
    <phoneticPr fontId="1" type="noConversion"/>
  </si>
  <si>
    <t>G6</t>
  </si>
  <si>
    <t>0.10-0.39%</t>
    <phoneticPr fontId="1" type="noConversion"/>
  </si>
  <si>
    <t>적음</t>
    <phoneticPr fontId="1" type="noConversion"/>
  </si>
  <si>
    <t>G7</t>
  </si>
  <si>
    <t>&lt;=0.09</t>
    <phoneticPr fontId="1" type="noConversion"/>
  </si>
  <si>
    <t>G1</t>
  </si>
  <si>
    <t>정형</t>
  </si>
  <si>
    <t>20% 반영</t>
    <phoneticPr fontId="1" type="noConversion"/>
  </si>
  <si>
    <t>질병이 포함된 대조군의 의료 데이터 1셀 최종 유통 가격의 60%</t>
  </si>
  <si>
    <t>질병이 포함된 의료 데이터 1셀당 최종 가격</t>
  </si>
  <si>
    <t>K05</t>
  </si>
  <si>
    <t>치은염 및 치주질환</t>
  </si>
  <si>
    <t>J20</t>
  </si>
  <si>
    <t>급성 기관지염</t>
  </si>
  <si>
    <t>J30</t>
  </si>
  <si>
    <t>혈관운동성 및 알레르기성 비염</t>
  </si>
  <si>
    <t>I10</t>
  </si>
  <si>
    <t>본태성(원발성) 고혈압</t>
  </si>
  <si>
    <t>K02</t>
  </si>
  <si>
    <t>치아우식</t>
  </si>
  <si>
    <t>J06</t>
  </si>
  <si>
    <t>다발성 및 상세불명 부위의 급성 상기도감염</t>
  </si>
  <si>
    <t>M54</t>
  </si>
  <si>
    <t>등통증</t>
  </si>
  <si>
    <t>K29</t>
  </si>
  <si>
    <t>위염 및 십이지장염</t>
  </si>
  <si>
    <t>J03</t>
  </si>
  <si>
    <t>급성 편도염</t>
  </si>
  <si>
    <t>J02</t>
  </si>
  <si>
    <t>급성 인두염</t>
  </si>
  <si>
    <t>K21</t>
  </si>
  <si>
    <t>위-식도역류병</t>
  </si>
  <si>
    <t>J01</t>
  </si>
  <si>
    <t>급성 부비동염</t>
  </si>
  <si>
    <t>A09</t>
  </si>
  <si>
    <t>감염성 및 상세불명 기원의 기타 위장염 및 결장염</t>
  </si>
  <si>
    <t>J00</t>
  </si>
  <si>
    <t>급성 비인두염[감기]</t>
  </si>
  <si>
    <t>L23</t>
  </si>
  <si>
    <t>알레르기성 접촉피부염</t>
  </si>
  <si>
    <t>H10</t>
  </si>
  <si>
    <t>결막염</t>
  </si>
  <si>
    <t>E11</t>
  </si>
  <si>
    <t>2형 당뇨병</t>
  </si>
  <si>
    <t>J04</t>
  </si>
  <si>
    <t>급성 후두염 및 기관염</t>
  </si>
  <si>
    <t>K04</t>
  </si>
  <si>
    <t>치수 및 근단주위조직의 질환</t>
  </si>
  <si>
    <t>M17</t>
  </si>
  <si>
    <t>무릎관절증</t>
  </si>
  <si>
    <t>M79</t>
  </si>
  <si>
    <t>달리 분류되지 않은 기타 연조직장애</t>
  </si>
  <si>
    <t>E78</t>
  </si>
  <si>
    <t>지질단백질대사장애 및 기타 지질증</t>
  </si>
  <si>
    <t>H04</t>
  </si>
  <si>
    <t>눈물계통의 장애</t>
  </si>
  <si>
    <t>H52</t>
  </si>
  <si>
    <t>굴절 및 조절의 장애</t>
  </si>
  <si>
    <t>R10</t>
  </si>
  <si>
    <t>복부 및 골반 통증</t>
  </si>
  <si>
    <t>J40</t>
  </si>
  <si>
    <t>급성인지 만성인지 명시되지 않은 기관지염</t>
  </si>
  <si>
    <t>M75</t>
  </si>
  <si>
    <t>어깨병변</t>
  </si>
  <si>
    <t>J32</t>
  </si>
  <si>
    <t>만성 부비동염</t>
  </si>
  <si>
    <t>L50</t>
  </si>
  <si>
    <t>두드러기</t>
  </si>
  <si>
    <t>S33</t>
  </si>
  <si>
    <t>요추 및 골반의 관절 및 인대의 탈구, 염좌 및 긴장</t>
  </si>
  <si>
    <t>K03</t>
  </si>
  <si>
    <t>치아경조직의 기타 질환</t>
  </si>
  <si>
    <t>S93</t>
  </si>
  <si>
    <t>발목 및 발 부위의 관절 및 인대의 탈구, 염좌 및 긴장</t>
  </si>
  <si>
    <t>U07</t>
  </si>
  <si>
    <t>U07의 응급사용</t>
  </si>
  <si>
    <t>B35</t>
  </si>
  <si>
    <t>백선증</t>
  </si>
  <si>
    <t>K59</t>
  </si>
  <si>
    <t>기타 기능성 장장애</t>
  </si>
  <si>
    <t>M48</t>
  </si>
  <si>
    <t>기타 척추병증</t>
  </si>
  <si>
    <t>K00</t>
  </si>
  <si>
    <t>치아의 발육 및 맹출 장애</t>
  </si>
  <si>
    <t>M51</t>
  </si>
  <si>
    <t>기타 추간판장애</t>
  </si>
  <si>
    <t>M65</t>
  </si>
  <si>
    <t>윤활막염 및 힘줄윤활막염</t>
  </si>
  <si>
    <t>N30</t>
  </si>
  <si>
    <t>M25</t>
  </si>
  <si>
    <t>달리 분류되지 않은 기타 관절장애</t>
  </si>
  <si>
    <t>H60</t>
  </si>
  <si>
    <t>외이염</t>
  </si>
  <si>
    <t>S63</t>
  </si>
  <si>
    <t>손목 및 손부위의 관절 및 인대의 탈구, 염좌 및 긴장</t>
  </si>
  <si>
    <t>K63</t>
  </si>
  <si>
    <t>장의 기타 질환</t>
  </si>
  <si>
    <t>L30</t>
  </si>
  <si>
    <t>기타 피부염</t>
  </si>
  <si>
    <t>N40</t>
  </si>
  <si>
    <t>전립선증식증</t>
  </si>
  <si>
    <t>H00</t>
  </si>
  <si>
    <t>맥립종 및 콩다래끼</t>
  </si>
  <si>
    <t>K08</t>
  </si>
  <si>
    <t>치아 및 지지구조의 기타 장애</t>
  </si>
  <si>
    <t>M77</t>
  </si>
  <si>
    <t>기타 골부착부병증</t>
  </si>
  <si>
    <t>J10</t>
  </si>
  <si>
    <t>확인된 계절성 인플루엔자바이러스에 의한 인플루엔자</t>
  </si>
  <si>
    <t>H35</t>
  </si>
  <si>
    <t>기타 망막장애</t>
  </si>
  <si>
    <t>Z46</t>
  </si>
  <si>
    <t>기타 장치의 부착 및 조정를 위하여 보건서비스와 접하고 있는 사람</t>
  </si>
  <si>
    <t>K58</t>
  </si>
  <si>
    <t>과민대장증후군</t>
  </si>
  <si>
    <t>H16</t>
  </si>
  <si>
    <t>각막염</t>
  </si>
  <si>
    <t>L02</t>
  </si>
  <si>
    <t>피부의 농양, 종기 및 큰종기</t>
  </si>
  <si>
    <t>K01</t>
  </si>
  <si>
    <t>매몰치 및 매복치</t>
  </si>
  <si>
    <t>J18</t>
  </si>
  <si>
    <t>상세불명 병원체의 폐렴</t>
  </si>
  <si>
    <t>H66</t>
  </si>
  <si>
    <t>화농성 및 상세불명의 중이염</t>
  </si>
  <si>
    <t>L24</t>
  </si>
  <si>
    <t>자극물접촉피부염</t>
  </si>
  <si>
    <t>J34</t>
  </si>
  <si>
    <t>코 및 비동의 기타 장애</t>
  </si>
  <si>
    <t>M81</t>
  </si>
  <si>
    <t>병적 골절이 없는 골다공증</t>
  </si>
  <si>
    <t>K07</t>
  </si>
  <si>
    <t>치아얼굴이상[부정교합포함]</t>
  </si>
  <si>
    <t>H40</t>
  </si>
  <si>
    <t>M47</t>
  </si>
  <si>
    <t>척추증</t>
  </si>
  <si>
    <t>M19</t>
  </si>
  <si>
    <t>기타 관절증</t>
  </si>
  <si>
    <t>N76</t>
  </si>
  <si>
    <t>질 및 외음부의 기타 염증</t>
  </si>
  <si>
    <t>L03</t>
  </si>
  <si>
    <t>연조직염</t>
  </si>
  <si>
    <t>K52</t>
  </si>
  <si>
    <t>기타 비감염성 위장염 및 결장염</t>
  </si>
  <si>
    <t>H81</t>
  </si>
  <si>
    <t>전정기능의 장애</t>
  </si>
  <si>
    <t>H25</t>
  </si>
  <si>
    <t>노년백내장</t>
  </si>
  <si>
    <t>M13</t>
  </si>
  <si>
    <t>기타 관절염</t>
  </si>
  <si>
    <t>N72</t>
  </si>
  <si>
    <t>자궁경부의 염증성 질환</t>
  </si>
  <si>
    <t>J45</t>
  </si>
  <si>
    <t>F32</t>
  </si>
  <si>
    <t>우울에피소드</t>
  </si>
  <si>
    <t>R51</t>
  </si>
  <si>
    <t>두통</t>
  </si>
  <si>
    <t>J21</t>
  </si>
  <si>
    <t>급성 세기관지염</t>
  </si>
  <si>
    <t>L20</t>
  </si>
  <si>
    <t>아토피성 피부염</t>
  </si>
  <si>
    <t>M50</t>
  </si>
  <si>
    <t>경추간판장애</t>
  </si>
  <si>
    <t>R07</t>
  </si>
  <si>
    <t>목구멍 및 가슴의 통증</t>
  </si>
  <si>
    <t>R42</t>
  </si>
  <si>
    <t>어지럼증 및 어지럼</t>
  </si>
  <si>
    <t>S13</t>
  </si>
  <si>
    <t>목부위의 관절 및 인대의 탈구, 염좌 및 긴장</t>
  </si>
  <si>
    <t>S83</t>
  </si>
  <si>
    <t>무릎의 관절 및 인대의 탈구, 염좌 및 긴장</t>
  </si>
  <si>
    <t>G47</t>
  </si>
  <si>
    <t>수면장애</t>
  </si>
  <si>
    <t>B00</t>
  </si>
  <si>
    <t>헤르페스바이러스[단순헤르페스] 감염</t>
  </si>
  <si>
    <t>F41</t>
  </si>
  <si>
    <t>기타 불안장애</t>
  </si>
  <si>
    <t>S02</t>
  </si>
  <si>
    <t>두개골 및 안면골의 골절</t>
  </si>
  <si>
    <t>K12</t>
  </si>
  <si>
    <t>구내염 및 관련 병변</t>
  </si>
  <si>
    <t>J11</t>
  </si>
  <si>
    <t>바이러스가 확인되지 않은 인플루엔자</t>
  </si>
  <si>
    <t>S61</t>
  </si>
  <si>
    <t>손목 및 손의 열린상처</t>
  </si>
  <si>
    <t>K30</t>
  </si>
  <si>
    <t>기능성 소화불량</t>
  </si>
  <si>
    <t>L21</t>
  </si>
  <si>
    <t>지루피부염</t>
  </si>
  <si>
    <t>J31</t>
  </si>
  <si>
    <t>만성 비염, 비인두염 및 인두염</t>
  </si>
  <si>
    <t>K76</t>
  </si>
  <si>
    <t>간의 기타 질환</t>
  </si>
  <si>
    <t>R50</t>
  </si>
  <si>
    <t>기타 및 원인미상의 열</t>
  </si>
  <si>
    <t>H61</t>
  </si>
  <si>
    <t>외이의 기타 장애</t>
  </si>
  <si>
    <t>B02</t>
  </si>
  <si>
    <t>대상포진</t>
  </si>
  <si>
    <t>N95</t>
  </si>
  <si>
    <t>폐경 및 기타 폐경전후 장애</t>
  </si>
  <si>
    <t>J38</t>
  </si>
  <si>
    <t>달리 분류되지 않은 성대 및 후두의 질환</t>
  </si>
  <si>
    <t>B37</t>
  </si>
  <si>
    <t>칸디다증</t>
  </si>
  <si>
    <t>T85</t>
  </si>
  <si>
    <t>기타 내부 인공삽입장치, 삽입물 및 이식편의 합병증</t>
  </si>
  <si>
    <t>I20</t>
  </si>
  <si>
    <t>협심증</t>
  </si>
  <si>
    <t>N93</t>
  </si>
  <si>
    <t>기타 이상 자궁 및 질 출혈</t>
  </si>
  <si>
    <t>S43</t>
  </si>
  <si>
    <t>견갑대의 관절 및 인대의 탈구, 염좌 및 긴장</t>
  </si>
  <si>
    <t>S23</t>
  </si>
  <si>
    <t>흉곽의 관절 및 인대의 탈구, 염좌 및 긴장</t>
  </si>
  <si>
    <t>J22</t>
  </si>
  <si>
    <t>상세불명의 급성 하기도감염</t>
  </si>
  <si>
    <t>E03</t>
  </si>
  <si>
    <t>기타 갑상선기능저하증</t>
  </si>
  <si>
    <t>H65</t>
  </si>
  <si>
    <t>비화농성 중이염</t>
  </si>
  <si>
    <t>D25</t>
  </si>
  <si>
    <t>자궁의 평활근종</t>
  </si>
  <si>
    <t>N31</t>
  </si>
  <si>
    <t>달리 분류되지 않은 방광의 신경근육기능장애</t>
  </si>
  <si>
    <t>H01</t>
  </si>
  <si>
    <t>눈꺼풀의 기타 염증</t>
  </si>
  <si>
    <t>L08</t>
  </si>
  <si>
    <t>피부 및 피하조직의 기타 국소감염</t>
  </si>
  <si>
    <t>K64</t>
  </si>
  <si>
    <t>치핵 및 항문주위정맥혈전증</t>
  </si>
  <si>
    <t>H11</t>
  </si>
  <si>
    <t>결막의 기타 장애</t>
  </si>
  <si>
    <t>J36</t>
  </si>
  <si>
    <t>편도주위농양</t>
  </si>
  <si>
    <t>K25</t>
  </si>
  <si>
    <t>위궤양</t>
  </si>
  <si>
    <t>G43</t>
  </si>
  <si>
    <t>편두통</t>
  </si>
  <si>
    <t>F00</t>
  </si>
  <si>
    <t>알츠하이머병에서의 치매(G30.-+)</t>
  </si>
  <si>
    <t>A04</t>
  </si>
  <si>
    <t>기타 세균성 장감염</t>
  </si>
  <si>
    <t>R11</t>
  </si>
  <si>
    <t>구역 및 구토</t>
  </si>
  <si>
    <t>L04</t>
  </si>
  <si>
    <t>급성 림프절염</t>
  </si>
  <si>
    <t>N64</t>
  </si>
  <si>
    <t>유방의 기타 장애</t>
  </si>
  <si>
    <t>R05</t>
  </si>
  <si>
    <t>기침</t>
  </si>
  <si>
    <t>M10</t>
  </si>
  <si>
    <t>통풍</t>
  </si>
  <si>
    <t>D12</t>
  </si>
  <si>
    <t>결장, 직장, 항문 및 항문관의 양성 신생물</t>
  </si>
  <si>
    <t>H90</t>
  </si>
  <si>
    <t>전음성 및 감각신경성 청력소실</t>
  </si>
  <si>
    <t>L25</t>
  </si>
  <si>
    <t>상세불명의 접촉피부염</t>
  </si>
  <si>
    <t>E04</t>
  </si>
  <si>
    <t>기타 비독성 고이터</t>
  </si>
  <si>
    <t>Z29</t>
  </si>
  <si>
    <t>기타 예방적 조치의 필요</t>
  </si>
  <si>
    <t>B08</t>
  </si>
  <si>
    <t>달리 분류되지 않은 피부 및 점막병변이 특징인 기타 바이러스감염</t>
  </si>
  <si>
    <t>T14</t>
  </si>
  <si>
    <t>상세불명의 신체부위의 손상</t>
  </si>
  <si>
    <t>N34</t>
  </si>
  <si>
    <t>요도염 및 요도증후군</t>
  </si>
  <si>
    <t>G44</t>
  </si>
  <si>
    <t>기타 두통증후군</t>
  </si>
  <si>
    <t>S01</t>
  </si>
  <si>
    <t>머리의 열린상처</t>
  </si>
  <si>
    <t>I63</t>
  </si>
  <si>
    <t>D23</t>
  </si>
  <si>
    <t>피부의 기타 양성 신생물</t>
  </si>
  <si>
    <t>N91</t>
  </si>
  <si>
    <t>무월경, 소량 및 희발 월경</t>
  </si>
  <si>
    <t>J35</t>
  </si>
  <si>
    <t>편도 및 아데노이드의 만성 질환</t>
  </si>
  <si>
    <t>R73</t>
  </si>
  <si>
    <t>혈당치상승</t>
  </si>
  <si>
    <t>J15</t>
  </si>
  <si>
    <t>달리 분류되지 않은 세균성 폐렴</t>
  </si>
  <si>
    <t>N63</t>
  </si>
  <si>
    <t>유방의 상세불명의 덩이</t>
  </si>
  <si>
    <t>B07</t>
  </si>
  <si>
    <t>바이러스사마귀</t>
  </si>
  <si>
    <t>H36</t>
  </si>
  <si>
    <t>달리 분류된 질환에서의 망막장애</t>
  </si>
  <si>
    <t>J39</t>
  </si>
  <si>
    <t>상기도의 기타 질환</t>
  </si>
  <si>
    <t>E14</t>
  </si>
  <si>
    <t>상세불명의 당뇨병</t>
  </si>
  <si>
    <t>L28</t>
  </si>
  <si>
    <t>만성 단순태선 및 가려움발진</t>
  </si>
  <si>
    <t>Z34</t>
  </si>
  <si>
    <t>정상임신의 관리</t>
  </si>
  <si>
    <t>B18</t>
  </si>
  <si>
    <t>만성 바이러스간염</t>
  </si>
  <si>
    <t>K75</t>
  </si>
  <si>
    <t>기타 염증성 간질환</t>
  </si>
  <si>
    <t>N92</t>
  </si>
  <si>
    <t>과다, 빈발 및 불규칙 월경</t>
  </si>
  <si>
    <t>S22</t>
  </si>
  <si>
    <t>늑골, 흉골 및 흉추의 골절</t>
  </si>
  <si>
    <t>S92</t>
  </si>
  <si>
    <t>발목을 제외한 발의 골절</t>
  </si>
  <si>
    <t>L29</t>
  </si>
  <si>
    <t>가려움</t>
  </si>
  <si>
    <t>F51</t>
  </si>
  <si>
    <t>비기질성 수면장애</t>
  </si>
  <si>
    <t>C73</t>
  </si>
  <si>
    <t>갑상선의 악성 신생물</t>
  </si>
  <si>
    <t>J37</t>
  </si>
  <si>
    <t>만성 후두염 및 후두기관염</t>
  </si>
  <si>
    <t>M62</t>
  </si>
  <si>
    <t>근육의 기타 장애</t>
  </si>
  <si>
    <t>S60</t>
  </si>
  <si>
    <t>손목 및 손의 표재성 손상</t>
  </si>
  <si>
    <t>S80</t>
  </si>
  <si>
    <t>아래다리의 표재성 손상</t>
  </si>
  <si>
    <t>D24</t>
  </si>
  <si>
    <t>유방의 양성 신생물</t>
  </si>
  <si>
    <t>N39</t>
  </si>
  <si>
    <t>비뇨계통의 기타 장애</t>
  </si>
  <si>
    <t>H93</t>
  </si>
  <si>
    <t>달리 분류되지 않은 귀의 기타 장애</t>
  </si>
  <si>
    <t>T15</t>
  </si>
  <si>
    <t>외안의 이물</t>
  </si>
  <si>
    <t>H26</t>
  </si>
  <si>
    <t>기타 백내장</t>
  </si>
  <si>
    <t>S90</t>
  </si>
  <si>
    <t>발목 및 발의 표재성 손상</t>
  </si>
  <si>
    <t>M72</t>
  </si>
  <si>
    <t>섬유모세포장애</t>
  </si>
  <si>
    <t>I67</t>
  </si>
  <si>
    <t>기타 뇌혈관질환</t>
  </si>
  <si>
    <t>R94</t>
  </si>
  <si>
    <t>기능검사의 이상결과</t>
  </si>
  <si>
    <t>M53</t>
  </si>
  <si>
    <t>달리 분류되지 않은 기타 등병증</t>
  </si>
  <si>
    <t>S00</t>
  </si>
  <si>
    <t>머리의 표재성 손상</t>
  </si>
  <si>
    <t>S62</t>
  </si>
  <si>
    <t>손목 및 손부위의 골절</t>
  </si>
  <si>
    <t>M76</t>
  </si>
  <si>
    <t>발을 제외한 다리의 골부착부병증</t>
  </si>
  <si>
    <t>D50</t>
  </si>
  <si>
    <t>철결핍빈혈</t>
  </si>
  <si>
    <t>F06</t>
  </si>
  <si>
    <t>뇌손상, 뇌기능이상 및 신체질환에 의한 기타 정신장애</t>
  </si>
  <si>
    <t>Z96</t>
  </si>
  <si>
    <t>기타 기능성 삽입물의 존재</t>
  </si>
  <si>
    <t>N18</t>
  </si>
  <si>
    <t>만성 신장병</t>
  </si>
  <si>
    <t>N94</t>
  </si>
  <si>
    <t>여성생식기관 및 월경주기와 관련된 통증 및 기타 병태</t>
  </si>
  <si>
    <t>H19</t>
  </si>
  <si>
    <t>달리 분류된 질환에서의 공막 및 각막의 장애</t>
  </si>
  <si>
    <t>H91</t>
  </si>
  <si>
    <t>기타 청력소실</t>
  </si>
  <si>
    <t>L72</t>
  </si>
  <si>
    <t>피부 및 피하조직의 모낭낭</t>
  </si>
  <si>
    <t>S53</t>
  </si>
  <si>
    <t>팔꿈치의 관절 및 인대의 탈구, 염좌 및 긴장</t>
  </si>
  <si>
    <t>A08</t>
  </si>
  <si>
    <t>바이러스성 및 기타 명시된 장감염</t>
  </si>
  <si>
    <t>R91</t>
  </si>
  <si>
    <t>폐의 진단영상검사상 이상소견</t>
  </si>
  <si>
    <t>N60</t>
  </si>
  <si>
    <t>양성 유방형성이상</t>
  </si>
  <si>
    <t>L85</t>
  </si>
  <si>
    <t>기타 표피의 비후</t>
  </si>
  <si>
    <t>H43</t>
  </si>
  <si>
    <t>유리체의 장애</t>
  </si>
  <si>
    <t>I11</t>
  </si>
  <si>
    <t>고혈압성 심장병</t>
  </si>
  <si>
    <t>J42</t>
  </si>
  <si>
    <t>상세불명의 만성 기관지염</t>
  </si>
  <si>
    <t>L84</t>
  </si>
  <si>
    <t>티눈 및 굳은살</t>
  </si>
  <si>
    <t>J41</t>
  </si>
  <si>
    <t>단순성 및 점액화농성 만성 기관지염</t>
  </si>
  <si>
    <t>N20</t>
  </si>
  <si>
    <t>신장 및 요관의 결석</t>
  </si>
  <si>
    <t>R31</t>
  </si>
  <si>
    <t>상세불명의 혈뇨</t>
  </si>
  <si>
    <t>H02</t>
  </si>
  <si>
    <t>눈꺼풀의 기타 장애</t>
  </si>
  <si>
    <t>R52</t>
  </si>
  <si>
    <t>달리 분류되지 않은 통증</t>
  </si>
  <si>
    <t>I48</t>
  </si>
  <si>
    <t>심방세동 및 조동</t>
  </si>
  <si>
    <t>R00</t>
  </si>
  <si>
    <t>심장박동의 이상</t>
  </si>
  <si>
    <t>G31</t>
  </si>
  <si>
    <t>달리 분류되지 않은 신경계통의 기타 퇴행성 질환</t>
  </si>
  <si>
    <t>L01</t>
  </si>
  <si>
    <t>농가진</t>
  </si>
  <si>
    <t>M23</t>
  </si>
  <si>
    <t>무릎의 내부장애</t>
  </si>
  <si>
    <t>I25</t>
  </si>
  <si>
    <t>만성 허혈심장병</t>
  </si>
  <si>
    <t>R68</t>
  </si>
  <si>
    <t>기타 전신 증상 및 징후</t>
  </si>
  <si>
    <t>F90</t>
  </si>
  <si>
    <t>운동과다장애</t>
  </si>
  <si>
    <t>C50</t>
  </si>
  <si>
    <t>유방의 악성 신생물</t>
  </si>
  <si>
    <t>J98</t>
  </si>
  <si>
    <t>기타 호흡장애</t>
  </si>
  <si>
    <t>E05</t>
  </si>
  <si>
    <t>갑상선독증[갑상선기능항진증]</t>
  </si>
  <si>
    <t>L73</t>
  </si>
  <si>
    <t>기타 모낭장애</t>
  </si>
  <si>
    <t>K80</t>
  </si>
  <si>
    <t>담석증</t>
  </si>
  <si>
    <t>Z71</t>
  </si>
  <si>
    <t>달리 분류되지 않은 기타 상담 및 의학적 권고를 위해 보건서비스와 접하고 있는 사람</t>
  </si>
  <si>
    <t>E55</t>
  </si>
  <si>
    <t>비타민D결핍</t>
  </si>
  <si>
    <t>M43</t>
  </si>
  <si>
    <t>기타 변형성 등병증</t>
  </si>
  <si>
    <t>Z03</t>
  </si>
  <si>
    <t>의심되는 질병 및 병태를 위한 의학적 관찰 및 평가, 배제된</t>
  </si>
  <si>
    <t>T16</t>
  </si>
  <si>
    <t>귀의 이물</t>
  </si>
  <si>
    <t>S52</t>
  </si>
  <si>
    <t>아래팔의 골절</t>
  </si>
  <si>
    <t>I73</t>
  </si>
  <si>
    <t>기타 말초혈관질환</t>
  </si>
  <si>
    <t>N41</t>
  </si>
  <si>
    <t>전립선의 염증성 질환</t>
  </si>
  <si>
    <t>L60</t>
  </si>
  <si>
    <t>손발톱장애</t>
  </si>
  <si>
    <t>S06</t>
  </si>
  <si>
    <t>M67</t>
  </si>
  <si>
    <t>윤활막 및 힘줄의 기타 장애</t>
  </si>
  <si>
    <t>I83</t>
  </si>
  <si>
    <t>하지의 정맥류</t>
  </si>
  <si>
    <t>F43</t>
  </si>
  <si>
    <t>심한 스트레스에 대한 반응 및 적응장애</t>
  </si>
  <si>
    <t>M15</t>
  </si>
  <si>
    <t>다발관절증</t>
  </si>
  <si>
    <t>S82</t>
  </si>
  <si>
    <t>발목을 포함한 아래다리의 골절</t>
  </si>
  <si>
    <t>Z00</t>
  </si>
  <si>
    <t>호소증상 및 보고된 진단명이 없는 사람의 일반적 검사 및 조사</t>
  </si>
  <si>
    <t>R06</t>
  </si>
  <si>
    <t>호흡의 이상</t>
  </si>
  <si>
    <t>S20</t>
  </si>
  <si>
    <t>흉부의 표재성 손상</t>
  </si>
  <si>
    <t>N86</t>
  </si>
  <si>
    <t>자궁경부의 미란 및 외반</t>
  </si>
  <si>
    <t>S91</t>
  </si>
  <si>
    <t>발목 및 발의 열린상처</t>
  </si>
  <si>
    <t>G56</t>
  </si>
  <si>
    <t>팔의 단일신경병증</t>
  </si>
  <si>
    <t>R60</t>
  </si>
  <si>
    <t>달리 분류되지 않은 부종</t>
  </si>
  <si>
    <t>S32</t>
  </si>
  <si>
    <t>요추 및 골반의 골절</t>
  </si>
  <si>
    <t>L91</t>
  </si>
  <si>
    <t>피부의 비대성 장애</t>
  </si>
  <si>
    <t>R04</t>
  </si>
  <si>
    <t>기도출혈</t>
  </si>
  <si>
    <t>N80</t>
  </si>
  <si>
    <t>D13</t>
  </si>
  <si>
    <t>기타 및 부위불명의 소화계통의 양성 신생물</t>
  </si>
  <si>
    <t>K26</t>
  </si>
  <si>
    <t>십이지장궤양</t>
  </si>
  <si>
    <t>K31</t>
  </si>
  <si>
    <t>위 및 십이지장의 기타 질환</t>
  </si>
  <si>
    <t>S81</t>
  </si>
  <si>
    <t>아래다리의 열린상처</t>
  </si>
  <si>
    <t>R19</t>
  </si>
  <si>
    <t>소화계통 및 복부의 기타 증상 및 징후</t>
  </si>
  <si>
    <t>Z98</t>
  </si>
  <si>
    <t>기타 수술후 상태</t>
  </si>
  <si>
    <t>K82</t>
  </si>
  <si>
    <t>담낭의 기타 질환</t>
  </si>
  <si>
    <t>E30</t>
  </si>
  <si>
    <t>달리 분류되지 않은 사춘기의 장애</t>
  </si>
  <si>
    <t>T23</t>
  </si>
  <si>
    <t>손목 및 손의 화상 및 부식</t>
  </si>
  <si>
    <t>H68</t>
  </si>
  <si>
    <t>귀인두관염 및 귀인두관 폐색</t>
  </si>
  <si>
    <t>E07</t>
  </si>
  <si>
    <t>갑상선의 기타 장애</t>
  </si>
  <si>
    <t>J44</t>
  </si>
  <si>
    <t>기타 만성 폐쇄성 폐질환</t>
  </si>
  <si>
    <t>N97</t>
  </si>
  <si>
    <t>여성불임</t>
  </si>
  <si>
    <t>L63</t>
  </si>
  <si>
    <t>원형 탈모증</t>
  </si>
  <si>
    <t>D34</t>
  </si>
  <si>
    <t>갑상선의 양성 신생물</t>
  </si>
  <si>
    <t>K27</t>
  </si>
  <si>
    <t>상세불명 부위의 소화성 궤양</t>
  </si>
  <si>
    <t>E86</t>
  </si>
  <si>
    <t>용적고갈</t>
  </si>
  <si>
    <t>D64</t>
  </si>
  <si>
    <t>기타 빈혈</t>
  </si>
  <si>
    <t>A63</t>
  </si>
  <si>
    <t>달리 분류되지 않은 기타 주로 성행위로 전파되는 질환</t>
  </si>
  <si>
    <t>T78</t>
  </si>
  <si>
    <t>달리 분류되지 않은 유해작용</t>
  </si>
  <si>
    <t>M24</t>
  </si>
  <si>
    <t>기타 특정 관절장애</t>
  </si>
  <si>
    <t>D17</t>
  </si>
  <si>
    <t>양성 지방종성 신생물</t>
  </si>
  <si>
    <t>I50</t>
  </si>
  <si>
    <t>I87</t>
  </si>
  <si>
    <t>정맥의 기타 장애</t>
  </si>
  <si>
    <t>S73</t>
  </si>
  <si>
    <t>고관절의 관절 및 인대의 탈구, 염좌 및 긴장</t>
  </si>
  <si>
    <t>I49</t>
  </si>
  <si>
    <t>기타 심장부정맥</t>
  </si>
  <si>
    <t>Z01</t>
  </si>
  <si>
    <t>호소증상 또는 보고된 진단명이 없는 사람의 기타 특수 검사 및 조사</t>
  </si>
  <si>
    <t>H50</t>
  </si>
  <si>
    <t>기타 사시</t>
  </si>
  <si>
    <t>I65</t>
  </si>
  <si>
    <t>뇌경색증을 유발하지 않은 뇌전동맥의 폐쇄 및 협착</t>
  </si>
  <si>
    <t>R92</t>
  </si>
  <si>
    <t>유방의 진단영상검사상 이상소견</t>
  </si>
  <si>
    <t>N84</t>
  </si>
  <si>
    <t>여성생식관의 폴립</t>
  </si>
  <si>
    <t>Z39</t>
  </si>
  <si>
    <t>분만후 관리 및 검사</t>
  </si>
  <si>
    <t>R22</t>
  </si>
  <si>
    <t>피부 및 피하조직의 국소적 부기, 종괴 및 덩이</t>
  </si>
  <si>
    <t>C16</t>
  </si>
  <si>
    <t>위의 악성 신생물</t>
  </si>
  <si>
    <t>D27</t>
  </si>
  <si>
    <t>난소의 양성 신생물</t>
  </si>
  <si>
    <t>N87</t>
  </si>
  <si>
    <t>자궁경부의 이형성</t>
  </si>
  <si>
    <t>L40</t>
  </si>
  <si>
    <t>건선</t>
  </si>
  <si>
    <t>K86</t>
  </si>
  <si>
    <t>췌장의 기타 질환</t>
  </si>
  <si>
    <t>K06</t>
  </si>
  <si>
    <t>잇몸 및 무치성 치조융기의 기타 장애</t>
  </si>
  <si>
    <t>G40</t>
  </si>
  <si>
    <t>뇌전증</t>
  </si>
  <si>
    <t>M05</t>
  </si>
  <si>
    <t>혈청검사양성 류마티스관절염</t>
  </si>
  <si>
    <t>M71</t>
  </si>
  <si>
    <t>기타 윤활낭병증</t>
  </si>
  <si>
    <t>A60</t>
  </si>
  <si>
    <t>항문생식기의 헤르페스바이러스[단순헤르페스]감염</t>
  </si>
  <si>
    <t>K92</t>
  </si>
  <si>
    <t>소화계통의 기타 질환</t>
  </si>
  <si>
    <t>G53</t>
  </si>
  <si>
    <t>달리 분류된 질환에서의 뇌신경장애</t>
  </si>
  <si>
    <t>G25</t>
  </si>
  <si>
    <t>기타 추체외로 및 운동 장애</t>
  </si>
  <si>
    <t>S46</t>
  </si>
  <si>
    <t>어깨 및 위팔 부위의 근육 및 힘줄의 손상</t>
  </si>
  <si>
    <t>H33</t>
  </si>
  <si>
    <t>망막박리 및 망막열공</t>
  </si>
  <si>
    <t>C61</t>
  </si>
  <si>
    <t>전립선의 악성 신생물</t>
  </si>
  <si>
    <t>M70</t>
  </si>
  <si>
    <t>사용, 과용 및 압박에 관련된 연조직장애</t>
  </si>
  <si>
    <t>N10</t>
  </si>
  <si>
    <t>급성 세뇨관-간질신장염</t>
  </si>
  <si>
    <t>S05</t>
  </si>
  <si>
    <t>눈 및 안와의 손상</t>
  </si>
  <si>
    <t>S50</t>
  </si>
  <si>
    <t>아래팔의 표재성 손상</t>
  </si>
  <si>
    <t>F31</t>
  </si>
  <si>
    <t>양극성 정동장애</t>
  </si>
  <si>
    <t>R03</t>
  </si>
  <si>
    <t>진단명 없는 혈압수치이상</t>
  </si>
  <si>
    <t>Z31</t>
  </si>
  <si>
    <t>출산관리</t>
  </si>
  <si>
    <t>K73</t>
  </si>
  <si>
    <t>달리 분류되지 않은 만성 간염</t>
  </si>
  <si>
    <t>K60</t>
  </si>
  <si>
    <t>항문 및 직장부의 열창 및 누공</t>
  </si>
  <si>
    <t>I21</t>
  </si>
  <si>
    <t>급성 심근경색증</t>
  </si>
  <si>
    <t>E06</t>
  </si>
  <si>
    <t>갑상선염</t>
  </si>
  <si>
    <t>N73</t>
  </si>
  <si>
    <t>기타 여성골반염증질환</t>
  </si>
  <si>
    <t>Z48</t>
  </si>
  <si>
    <t>기타 외과적 추적치료를 위하여 보건서비스와 접하고 있는 사람</t>
  </si>
  <si>
    <t>S03</t>
  </si>
  <si>
    <t>머리의 관절 및 인대의 탈구, 염좌 및 긴장</t>
  </si>
  <si>
    <t>N83</t>
  </si>
  <si>
    <t>난소, 난관 및 넓은인대의 비염증성 장애</t>
  </si>
  <si>
    <t>C34</t>
  </si>
  <si>
    <t>기관지 및 폐의 악성 신생물</t>
  </si>
  <si>
    <t>Z11</t>
  </si>
  <si>
    <t>감염성 및 기생충성 질환에 대한 특수선별검사</t>
  </si>
  <si>
    <t>R12</t>
  </si>
  <si>
    <t>속쓰림</t>
  </si>
  <si>
    <t>R62</t>
  </si>
  <si>
    <t>기대되는 정상 생리학적 발달의 결여</t>
  </si>
  <si>
    <t>I70</t>
  </si>
  <si>
    <t>R87</t>
  </si>
  <si>
    <t>여성생식기관 검사물의 이상소견</t>
  </si>
  <si>
    <t>B30</t>
  </si>
  <si>
    <t>바이러스결막염</t>
  </si>
  <si>
    <t>D21</t>
  </si>
  <si>
    <t>결합조직 및 기타 연조직의 기타 양성 신생물</t>
  </si>
  <si>
    <t>K62</t>
  </si>
  <si>
    <t>항문 및 직장의 기타 질환</t>
  </si>
  <si>
    <t>T17</t>
  </si>
  <si>
    <t>기도의 이물</t>
  </si>
  <si>
    <t>R55</t>
  </si>
  <si>
    <t>실신 및 허탈</t>
  </si>
  <si>
    <t>G20</t>
  </si>
  <si>
    <t>R63</t>
  </si>
  <si>
    <t>음식 및 수액 섭취에 관계된 증상 및 징후</t>
  </si>
  <si>
    <t>K11</t>
  </si>
  <si>
    <t>침샘의 질환</t>
  </si>
  <si>
    <t>M99</t>
  </si>
  <si>
    <t>달리 분류되지 않은 생체역학적 병변</t>
  </si>
  <si>
    <t>S42</t>
  </si>
  <si>
    <t>어깨 및 위팔의 골절</t>
  </si>
  <si>
    <t>R25</t>
  </si>
  <si>
    <t>이상불수의운동</t>
  </si>
  <si>
    <t>G45</t>
  </si>
  <si>
    <t>일과성 뇌허혈발작 및 관련 증후군</t>
  </si>
  <si>
    <t>N48</t>
  </si>
  <si>
    <t>음경의 기타 장애</t>
  </si>
  <si>
    <t>S30</t>
  </si>
  <si>
    <t>복부, 아래등 및 골반의 표재성 손상</t>
  </si>
  <si>
    <t>R93</t>
  </si>
  <si>
    <t>기타 신체구조의 진단영상검사상 이상소견</t>
  </si>
  <si>
    <t>A49</t>
  </si>
  <si>
    <t>상세불명 부위의 세균감염</t>
  </si>
  <si>
    <t>M06</t>
  </si>
  <si>
    <t>기타 류마티스관절염</t>
  </si>
  <si>
    <t>H53</t>
  </si>
  <si>
    <t>시각장애</t>
  </si>
  <si>
    <t>S70</t>
  </si>
  <si>
    <t>엉덩이 및 대퇴의 표재성 손상</t>
  </si>
  <si>
    <t>S86</t>
  </si>
  <si>
    <t>아래다리 부위의 근육 및 힘줄의 손상</t>
  </si>
  <si>
    <t>N46</t>
  </si>
  <si>
    <t>남성불임</t>
  </si>
  <si>
    <t>R09</t>
  </si>
  <si>
    <t>순환계통 및 호흡계통의 기타 증상 및 징후</t>
  </si>
  <si>
    <t>T00</t>
  </si>
  <si>
    <t>여러 신체부위를 침범한 표재성 손상</t>
  </si>
  <si>
    <t>D18</t>
  </si>
  <si>
    <t>모든 부위의 혈관종 및 림프관종</t>
  </si>
  <si>
    <t>K74</t>
  </si>
  <si>
    <t>간의 섬유증 및 경변증</t>
  </si>
  <si>
    <t>R80</t>
  </si>
  <si>
    <t>고립된 단백뇨</t>
  </si>
  <si>
    <t>B34</t>
  </si>
  <si>
    <t>상세불명 부위의 바이러스감염</t>
  </si>
  <si>
    <t>T30</t>
  </si>
  <si>
    <t>상세불명 신체부위의 화상 및 부식</t>
  </si>
  <si>
    <t>F20</t>
  </si>
  <si>
    <t>조현병</t>
  </si>
  <si>
    <t>L70</t>
  </si>
  <si>
    <t>여드름</t>
  </si>
  <si>
    <t>G57</t>
  </si>
  <si>
    <t>다리의 단일신경병증</t>
  </si>
  <si>
    <t>N32</t>
  </si>
  <si>
    <t>방광의 기타 장애</t>
  </si>
  <si>
    <t>H57</t>
  </si>
  <si>
    <t>눈 및 눈부속기의 기타 장애</t>
  </si>
  <si>
    <t>T22</t>
  </si>
  <si>
    <t>손목 및 손을 제외한 어깨와 팔의 화상 및 부식</t>
  </si>
  <si>
    <t>Z20</t>
  </si>
  <si>
    <t>전염성 질환에 접촉 및 노출</t>
  </si>
  <si>
    <t>M22</t>
  </si>
  <si>
    <t>무릎뼈의 장애</t>
  </si>
  <si>
    <t>G51</t>
  </si>
  <si>
    <t>안면신경장애</t>
  </si>
  <si>
    <t>M16</t>
  </si>
  <si>
    <t>고관절증</t>
  </si>
  <si>
    <t>K14</t>
  </si>
  <si>
    <t>혀의 질환</t>
  </si>
  <si>
    <t>N28</t>
  </si>
  <si>
    <t>달리 분류되지 않은 신장 및 요관의 기타 장애</t>
  </si>
  <si>
    <t>E28</t>
  </si>
  <si>
    <t>난소의 기능이상</t>
  </si>
  <si>
    <t>M85</t>
  </si>
  <si>
    <t>골밀도 및 구조의 기타 장애</t>
  </si>
  <si>
    <t>F45</t>
  </si>
  <si>
    <t>신체형장애</t>
  </si>
  <si>
    <t>K70</t>
  </si>
  <si>
    <t>알코올성 간질환</t>
  </si>
  <si>
    <t>M96</t>
  </si>
  <si>
    <t>달리 분류되지 않은 처치후 근골격장애</t>
  </si>
  <si>
    <t>F34</t>
  </si>
  <si>
    <t>지속성 기분[정동]장애</t>
  </si>
  <si>
    <t>H92</t>
  </si>
  <si>
    <t>귀통증 및 귀의 삼출액</t>
  </si>
  <si>
    <t>C18</t>
  </si>
  <si>
    <t>결장의 악성 신생물</t>
  </si>
  <si>
    <t>J47</t>
  </si>
  <si>
    <t>S51</t>
  </si>
  <si>
    <t>아래팔의 열린상처</t>
  </si>
  <si>
    <t>R35</t>
  </si>
  <si>
    <t>다뇨</t>
  </si>
  <si>
    <t>H34</t>
  </si>
  <si>
    <t>망막혈관폐쇄</t>
  </si>
  <si>
    <t>E22</t>
  </si>
  <si>
    <t>뇌하수체의 기능항진</t>
  </si>
  <si>
    <t>H69</t>
  </si>
  <si>
    <t>귀인두관의 기타 장애</t>
  </si>
  <si>
    <t>S72</t>
  </si>
  <si>
    <t>대퇴골의 골절</t>
  </si>
  <si>
    <t>F33</t>
  </si>
  <si>
    <t>재발성 우울장애</t>
  </si>
  <si>
    <t>M41</t>
  </si>
  <si>
    <t>척주측만증</t>
  </si>
  <si>
    <t>G50</t>
  </si>
  <si>
    <t>삼차신경의 장애</t>
  </si>
  <si>
    <t>B36</t>
  </si>
  <si>
    <t>기타 표재성 진균증</t>
  </si>
  <si>
    <t>H20</t>
  </si>
  <si>
    <t>홍채섬모체염</t>
  </si>
  <si>
    <t>D35</t>
  </si>
  <si>
    <t>기타 및 상세불명의 내분비선의 양성 신생물</t>
  </si>
  <si>
    <t>K35</t>
  </si>
  <si>
    <t>급성 충수염</t>
  </si>
  <si>
    <t>F48</t>
  </si>
  <si>
    <t>기타 신경성 장애</t>
  </si>
  <si>
    <t>M60</t>
  </si>
  <si>
    <t>근염</t>
  </si>
  <si>
    <t>H73</t>
  </si>
  <si>
    <t>고막의 기타 장애</t>
  </si>
  <si>
    <t>J33</t>
  </si>
  <si>
    <t>코폴립</t>
  </si>
  <si>
    <t>C22</t>
  </si>
  <si>
    <t>간 및 간내 담관의 악성 신생물</t>
  </si>
  <si>
    <t>S40</t>
  </si>
  <si>
    <t>어깨 및 위팔의 표재성 손상</t>
  </si>
  <si>
    <t>S66</t>
  </si>
  <si>
    <t>손목 및 손 부위의 근육 및 힘줄의 손상</t>
  </si>
  <si>
    <t>J05</t>
  </si>
  <si>
    <t>급성 폐색성 후두염[크룹] 및 후두개염</t>
  </si>
  <si>
    <t>E13</t>
  </si>
  <si>
    <t>기타 명시된 당뇨병</t>
  </si>
  <si>
    <t>I88</t>
  </si>
  <si>
    <t>비특이성 림프절염</t>
  </si>
  <si>
    <t>M35</t>
  </si>
  <si>
    <t>결합조직의 기타 전신침범</t>
  </si>
  <si>
    <t>L80</t>
  </si>
  <si>
    <t>백반증</t>
  </si>
  <si>
    <t>S76</t>
  </si>
  <si>
    <t>엉덩이 및 대퇴 부위의 근육 및 힘줄의 손상</t>
  </si>
  <si>
    <t>M20</t>
  </si>
  <si>
    <t>손가락 및 발가락의 후천변형</t>
  </si>
  <si>
    <t>K13</t>
  </si>
  <si>
    <t>입술 및 구강점막의 기타 질환</t>
  </si>
  <si>
    <t>T24</t>
  </si>
  <si>
    <t>발목 및 발을 제외한 엉덩이 및 다리의 화상 및 부식</t>
  </si>
  <si>
    <t>G30</t>
  </si>
  <si>
    <t>알츠하이머병</t>
  </si>
  <si>
    <t>R79</t>
  </si>
  <si>
    <t>혈액화학의 기타 이상소견</t>
  </si>
  <si>
    <t>N45</t>
  </si>
  <si>
    <t>고환염 및 부고환염</t>
  </si>
  <si>
    <t>T63</t>
  </si>
  <si>
    <t>독액성 동물과의 접촉의 독성효과</t>
  </si>
  <si>
    <t>R21</t>
  </si>
  <si>
    <t>발진 및 기타 비특이성 피부발진</t>
  </si>
  <si>
    <t>R41</t>
  </si>
  <si>
    <t>인지기능 및 자각에 관련된 기타 증상 및 징후</t>
  </si>
  <si>
    <t>R20</t>
  </si>
  <si>
    <t>피부감각의 장애</t>
  </si>
  <si>
    <t>F40</t>
  </si>
  <si>
    <t>공포성 불안장애</t>
  </si>
  <si>
    <t>Z32</t>
  </si>
  <si>
    <t>임신검사</t>
  </si>
  <si>
    <t>K61</t>
  </si>
  <si>
    <t>항문 및 직장부의 농양</t>
  </si>
  <si>
    <t>Z22</t>
  </si>
  <si>
    <t>감염성 질환의 보균자</t>
  </si>
  <si>
    <t>C20</t>
  </si>
  <si>
    <t>직장의 악성 신생물</t>
  </si>
  <si>
    <t>K51</t>
  </si>
  <si>
    <t>궤양성 대장염</t>
  </si>
  <si>
    <t>H15</t>
  </si>
  <si>
    <t>공막의 장애</t>
  </si>
  <si>
    <t>H18</t>
  </si>
  <si>
    <t>각막의 기타 장애</t>
  </si>
  <si>
    <t>E87</t>
  </si>
  <si>
    <t>수분, 전해질 및 산-염기균형의 기타 장애</t>
  </si>
  <si>
    <t>D69</t>
  </si>
  <si>
    <t>자반 및 기타 출혈성 병태</t>
  </si>
  <si>
    <t>F03</t>
  </si>
  <si>
    <t>상세불명의 치매</t>
  </si>
  <si>
    <t>K57</t>
  </si>
  <si>
    <t>장의 게실병</t>
  </si>
  <si>
    <t>Q21</t>
  </si>
  <si>
    <t>심장중격의 선천기형</t>
  </si>
  <si>
    <t>A59</t>
  </si>
  <si>
    <t>편모충증</t>
  </si>
  <si>
    <t>N71</t>
  </si>
  <si>
    <t>자궁경부를 제외한 자궁의 염증성 질환</t>
  </si>
  <si>
    <t>I66</t>
  </si>
  <si>
    <t>뇌경색증을 유발하지 않은 대뇌동맥의 폐쇄 및 협착</t>
  </si>
  <si>
    <t>M94</t>
  </si>
  <si>
    <t>연골의 기타 장애</t>
  </si>
  <si>
    <t>M21</t>
  </si>
  <si>
    <t>사지의 기타 후천변형</t>
  </si>
  <si>
    <t>E34</t>
  </si>
  <si>
    <t>기타 내분비장애</t>
  </si>
  <si>
    <t>E88</t>
  </si>
  <si>
    <t>기타 대사장애</t>
  </si>
  <si>
    <t>M45</t>
  </si>
  <si>
    <t>강직척추염</t>
  </si>
  <si>
    <t>N77</t>
  </si>
  <si>
    <t>달리 분류된 질환에서의 외음질의 궤양 및 염증</t>
  </si>
  <si>
    <t>E89</t>
  </si>
  <si>
    <t>달리 분류되지 않은 처치후 내분비 및 대사 장애</t>
  </si>
  <si>
    <t>Z04</t>
  </si>
  <si>
    <t>기타 이유의 검사 및 관찰</t>
  </si>
  <si>
    <t>G62</t>
  </si>
  <si>
    <t>기타 다발신경병증</t>
  </si>
  <si>
    <t>D05</t>
  </si>
  <si>
    <t>유방의 제자리암종</t>
  </si>
  <si>
    <t>L81</t>
  </si>
  <si>
    <t>색소침착의 기타 장애</t>
  </si>
  <si>
    <t>I42</t>
  </si>
  <si>
    <t>심근병증</t>
  </si>
  <si>
    <t>J09</t>
  </si>
  <si>
    <t>확인된 동물매개 또는 범유행 인플루엔자바이러스에 의한 인플루엔자</t>
  </si>
  <si>
    <t>J84</t>
  </si>
  <si>
    <t>기타 간질성 폐질환</t>
  </si>
  <si>
    <t>I47</t>
  </si>
  <si>
    <t>발작성 빈맥</t>
  </si>
  <si>
    <t>B98</t>
  </si>
  <si>
    <t>다른 장에서 분류된 질환의 원인으로서의 기타 명시된 감염체</t>
  </si>
  <si>
    <t>F10</t>
  </si>
  <si>
    <t>알코올사용에 의한 정신 및 행동 장애</t>
  </si>
  <si>
    <t>K40</t>
  </si>
  <si>
    <t>사타구니탈장</t>
  </si>
  <si>
    <t>M80</t>
  </si>
  <si>
    <t>병적 골절을 동반한 골다공증</t>
  </si>
  <si>
    <t>N85</t>
  </si>
  <si>
    <t>자궁경부를 제외한 자궁의 기타 비염증성 장애</t>
  </si>
  <si>
    <t>K10</t>
  </si>
  <si>
    <t>턱의 기타 질환</t>
  </si>
  <si>
    <t>Z35</t>
  </si>
  <si>
    <t>고위험임신의 관리</t>
  </si>
  <si>
    <t>E10</t>
  </si>
  <si>
    <t>1형 당뇨병</t>
  </si>
  <si>
    <t>K81</t>
  </si>
  <si>
    <t>담낭염</t>
  </si>
  <si>
    <t>M46</t>
  </si>
  <si>
    <t>기타 염증성 척추병증</t>
  </si>
  <si>
    <t>G58</t>
  </si>
  <si>
    <t>기타 단일신경병증</t>
  </si>
  <si>
    <t>T20</t>
  </si>
  <si>
    <t>머리 및 목의 화상 및 부식</t>
  </si>
  <si>
    <t>R59</t>
  </si>
  <si>
    <t>림프절비대</t>
  </si>
  <si>
    <t>Z94</t>
  </si>
  <si>
    <t>이식된 기관 및 조직의 상태</t>
  </si>
  <si>
    <t>G90</t>
  </si>
  <si>
    <t>자율신경계통의 장애</t>
  </si>
  <si>
    <t>Z13</t>
  </si>
  <si>
    <t>기타 질환 및 장애에 대한 특수선별검사</t>
  </si>
  <si>
    <t>G63</t>
  </si>
  <si>
    <t>달리 분류된 질환에서의 다발신경병증</t>
  </si>
  <si>
    <t>D06</t>
  </si>
  <si>
    <t>자궁경부의 제자리암종</t>
  </si>
  <si>
    <t>L71</t>
  </si>
  <si>
    <t>주사</t>
  </si>
  <si>
    <t>I51</t>
  </si>
  <si>
    <t>심장병의 불명확한 기록 및 합병증</t>
  </si>
  <si>
    <t>P59</t>
  </si>
  <si>
    <t>기타 및 상세불명의 원인으로 인한 신생아황달</t>
  </si>
  <si>
    <t>K20</t>
  </si>
  <si>
    <t>식도염</t>
  </si>
  <si>
    <t>B88</t>
  </si>
  <si>
    <t>기타 감염</t>
  </si>
  <si>
    <t>K56</t>
  </si>
  <si>
    <t>탈장이 없는 마비성 장폐색증 및 장폐색</t>
  </si>
  <si>
    <t>L98</t>
  </si>
  <si>
    <t>달리 분류되지 않은 피부 및 피하조직의 기타 장애</t>
  </si>
  <si>
    <t>I35</t>
  </si>
  <si>
    <t>비류마티스성 대동맥판장애</t>
  </si>
  <si>
    <t>R56</t>
  </si>
  <si>
    <t>달리 분류되지 않은 경련</t>
  </si>
  <si>
    <t>Z51</t>
  </si>
  <si>
    <t>기타 의학적 관리를 위하여 보건서비스와 접하고 있는 사람</t>
  </si>
  <si>
    <t>L27</t>
  </si>
  <si>
    <t>내부로 섭취된 물질에 의한 피부염</t>
  </si>
  <si>
    <t>D32</t>
  </si>
  <si>
    <t>수막의 양성 신생물</t>
  </si>
  <si>
    <t>C67</t>
  </si>
  <si>
    <t>방광의 악성 신생물</t>
  </si>
  <si>
    <t>E83</t>
  </si>
  <si>
    <t>무기질대사장애</t>
  </si>
  <si>
    <t>C64</t>
  </si>
  <si>
    <t>신우를 제외한 신장의 악성 신생물</t>
  </si>
  <si>
    <t>E63</t>
  </si>
  <si>
    <t>기타 영양결핍</t>
  </si>
  <si>
    <t>T25</t>
  </si>
  <si>
    <t>발목 및 발의 화상 및 부식</t>
  </si>
  <si>
    <t>I61</t>
  </si>
  <si>
    <t>F42</t>
  </si>
  <si>
    <t>강박장애</t>
  </si>
  <si>
    <t>K83</t>
  </si>
  <si>
    <t>담도의 기타 질환</t>
  </si>
  <si>
    <t>N02</t>
  </si>
  <si>
    <t>재발성 및 지속성 혈뇨</t>
  </si>
  <si>
    <t>R43</t>
  </si>
  <si>
    <t>후각 및 미각 장애</t>
  </si>
  <si>
    <t>I95</t>
  </si>
  <si>
    <t>저혈압</t>
  </si>
  <si>
    <t>O02</t>
  </si>
  <si>
    <t>기타 비정상적 수태부산물</t>
  </si>
  <si>
    <t>Z95</t>
  </si>
  <si>
    <t>심장 및 혈관 삽입물 및 이식편의 존재</t>
  </si>
  <si>
    <t>I71</t>
  </si>
  <si>
    <t>대동맥동맥류 및 박리</t>
  </si>
  <si>
    <t>R30</t>
  </si>
  <si>
    <t>배뇨와 연관된 통증</t>
  </si>
  <si>
    <t>E23</t>
  </si>
  <si>
    <t>뇌하수체의 기능저하 및 기타 장애</t>
  </si>
  <si>
    <t>I89</t>
  </si>
  <si>
    <t>림프관 및 림프절의 기타 비감염성 장애</t>
  </si>
  <si>
    <t>E50</t>
  </si>
  <si>
    <t>비타민A결핍</t>
  </si>
  <si>
    <t>O24</t>
  </si>
  <si>
    <t>임신중 당뇨병</t>
  </si>
  <si>
    <t>R39</t>
  </si>
  <si>
    <t>비뇨계통의 기타 증상 및 징후</t>
  </si>
  <si>
    <t>H62</t>
  </si>
  <si>
    <t>달리 분류된 질환에서의 외이의 장애</t>
  </si>
  <si>
    <t>K71</t>
  </si>
  <si>
    <t>독성간질환</t>
  </si>
  <si>
    <t>Z47</t>
  </si>
  <si>
    <t>기타 정형외과적 추적치료를 위하여 보건서비스와 접하고 있는 사람</t>
  </si>
  <si>
    <t>B86</t>
  </si>
  <si>
    <t>옴</t>
  </si>
  <si>
    <t>L90</t>
  </si>
  <si>
    <t>피부의 위축장애</t>
  </si>
  <si>
    <t>N13</t>
  </si>
  <si>
    <t>폐색성 및 역류성 요로병증</t>
  </si>
  <si>
    <t>G54</t>
  </si>
  <si>
    <t>신경근 및 신경총 장애</t>
  </si>
  <si>
    <t>D10</t>
  </si>
  <si>
    <t>입 및 인두의 양성 신생물</t>
  </si>
  <si>
    <t>D37</t>
  </si>
  <si>
    <t>구강 및 소화기관의 행동양식 불명 또는 미상의 신생물</t>
  </si>
  <si>
    <t>O20</t>
  </si>
  <si>
    <t>초기임신중 출혈</t>
  </si>
  <si>
    <t>Q38</t>
  </si>
  <si>
    <t>혀, 입 및 인두의 기타 선천기형</t>
  </si>
  <si>
    <t>G24</t>
  </si>
  <si>
    <t>근긴장이상</t>
  </si>
  <si>
    <t>N17</t>
  </si>
  <si>
    <t>급성 신부전</t>
  </si>
  <si>
    <t>M12</t>
  </si>
  <si>
    <t>기타 특정 관절병증</t>
  </si>
  <si>
    <t>S09</t>
  </si>
  <si>
    <t>머리의 기타 및 상세불명의 손상</t>
  </si>
  <si>
    <t>A64</t>
  </si>
  <si>
    <t>상세불명의 성매개질환</t>
  </si>
  <si>
    <t>S31</t>
  </si>
  <si>
    <t>복부, 아래등 및 골반의 열린상처</t>
  </si>
  <si>
    <t>R26</t>
  </si>
  <si>
    <t>보행과 이동의 이상</t>
  </si>
  <si>
    <t>Z97</t>
  </si>
  <si>
    <t>기타 장치의 존재</t>
  </si>
  <si>
    <t>M49</t>
  </si>
  <si>
    <t>달리 분류된 질환에서의 척추병증</t>
  </si>
  <si>
    <t>I69</t>
  </si>
  <si>
    <t>뇌혈관질환의 후유증</t>
  </si>
  <si>
    <t>R53</t>
  </si>
  <si>
    <t>병감 및 피로</t>
  </si>
  <si>
    <t>F84</t>
  </si>
  <si>
    <t>전반발달장애</t>
  </si>
  <si>
    <t>G93</t>
  </si>
  <si>
    <t>뇌의 기타 장애</t>
  </si>
  <si>
    <t>M87</t>
  </si>
  <si>
    <t>골괴사</t>
  </si>
  <si>
    <t>L05</t>
  </si>
  <si>
    <t>모소낭</t>
  </si>
  <si>
    <t>K85</t>
  </si>
  <si>
    <t>급성 췌장염</t>
  </si>
  <si>
    <t>M40</t>
  </si>
  <si>
    <t>척주후만증 및 척주전만증</t>
  </si>
  <si>
    <t>R82</t>
  </si>
  <si>
    <t>요의 기타 이상소견</t>
  </si>
  <si>
    <t>Z26</t>
  </si>
  <si>
    <t>기타 단일 감염성 질환에 대한 예방접종의 필요</t>
  </si>
  <si>
    <t>N62</t>
  </si>
  <si>
    <t>유방의 비대</t>
  </si>
  <si>
    <t>J12</t>
  </si>
  <si>
    <t>달리 분류되지 않은 바이러스폐렴</t>
  </si>
  <si>
    <t>Z38</t>
  </si>
  <si>
    <t>출산장소에 따른 생존출생</t>
  </si>
  <si>
    <t>A41</t>
  </si>
  <si>
    <t>기타 패혈증</t>
  </si>
  <si>
    <t>O80</t>
  </si>
  <si>
    <t>O82</t>
  </si>
  <si>
    <t>제왕절개에 의한 단일분만</t>
  </si>
  <si>
    <t>O33</t>
  </si>
  <si>
    <t>알려진 또는 의심되는 불균형에 대한 산모관리</t>
  </si>
  <si>
    <t>G81</t>
  </si>
  <si>
    <t>편마비</t>
  </si>
  <si>
    <t>O34</t>
  </si>
  <si>
    <t>골반기관의 알려진 또는 의심되는 이상에 대한 산모관리</t>
  </si>
  <si>
    <t>C25</t>
  </si>
  <si>
    <t>췌장의 악성 신생물</t>
  </si>
  <si>
    <t>J69</t>
  </si>
  <si>
    <t>고체 및 액체에 의한 폐렴</t>
  </si>
  <si>
    <t>I46</t>
  </si>
  <si>
    <t>심장정지</t>
  </si>
  <si>
    <t>O60</t>
  </si>
  <si>
    <t>조기진통 및 분만</t>
  </si>
  <si>
    <t>O65</t>
  </si>
  <si>
    <t>산모골반이상으로 인한 난산</t>
  </si>
  <si>
    <t>P07</t>
  </si>
  <si>
    <t>달리 분류되지 않은 단기임신 및 저체중출산에 관련된 장애</t>
  </si>
  <si>
    <t>J90</t>
  </si>
  <si>
    <t>달리 분류되지 않은 흉막삼출액</t>
  </si>
  <si>
    <t>G82</t>
  </si>
  <si>
    <t>하반신마비 및 사지마비</t>
  </si>
  <si>
    <t>T81</t>
  </si>
  <si>
    <t>달리 분류되지 않은 처치의 합병증</t>
  </si>
  <si>
    <t>J93</t>
  </si>
  <si>
    <t>기흉</t>
  </si>
  <si>
    <t>C24</t>
  </si>
  <si>
    <t>담도의 기타 및 상세불명 부분의 악성 신생물</t>
  </si>
  <si>
    <t>I60</t>
  </si>
  <si>
    <t>거미막하출혈</t>
  </si>
  <si>
    <t>P22</t>
  </si>
  <si>
    <t>신생아의 호흡곤란</t>
  </si>
  <si>
    <t>J96</t>
  </si>
  <si>
    <t>달리 분류되지 않은 호흡부전</t>
  </si>
  <si>
    <t>C79</t>
  </si>
  <si>
    <t>기타 및 상세불명 부위의 이차성 악성 신생물</t>
  </si>
  <si>
    <t>O81</t>
  </si>
  <si>
    <t>집게 및 진공흡착기에 의한 단일분만</t>
  </si>
  <si>
    <t>E16</t>
  </si>
  <si>
    <t>췌장내분비의 기타 장애</t>
  </si>
  <si>
    <t>C56</t>
  </si>
  <si>
    <t>난소의 악성 신생물</t>
  </si>
  <si>
    <t>O83</t>
  </si>
  <si>
    <t>기타 보조단일분만</t>
  </si>
  <si>
    <t>R57</t>
  </si>
  <si>
    <t>달리 분류되지 않은 쇼크</t>
  </si>
  <si>
    <t>N81</t>
  </si>
  <si>
    <t>C78</t>
  </si>
  <si>
    <t>호흡 및 소화기관의 이차성 악성 신생물</t>
  </si>
  <si>
    <t>M00</t>
  </si>
  <si>
    <t>화농성 관절염</t>
  </si>
  <si>
    <t>K55</t>
  </si>
  <si>
    <t>장의 혈관장애</t>
  </si>
  <si>
    <t>J13</t>
  </si>
  <si>
    <t>폐렴연쇄알균에 의한 폐렴</t>
  </si>
  <si>
    <t>O32</t>
  </si>
  <si>
    <t>태아의 알려진 또는 의심되는 이상태위에 대한 산모관리</t>
  </si>
  <si>
    <t>L89</t>
  </si>
  <si>
    <t>욕창궤양 및 압박부위</t>
  </si>
  <si>
    <t>C83</t>
  </si>
  <si>
    <t>비소포성 림프종</t>
  </si>
  <si>
    <t>K65</t>
  </si>
  <si>
    <t>복막염</t>
  </si>
  <si>
    <t>B17</t>
  </si>
  <si>
    <t>기타 급성 바이러스간염</t>
  </si>
  <si>
    <t>O42</t>
  </si>
  <si>
    <t>양막의 조기파열</t>
  </si>
  <si>
    <t>C54</t>
  </si>
  <si>
    <t>자궁체부의 악성 신생물</t>
  </si>
  <si>
    <t>T50</t>
  </si>
  <si>
    <t>이뇨제 및 기타 상세불명의 약물, 약제 및 생물학적 물질에 의한 중독</t>
  </si>
  <si>
    <t>Z53</t>
  </si>
  <si>
    <t>수행되지 않은 특정 처치를 위해 보건서비스에 접하고 있는 사람</t>
  </si>
  <si>
    <t>K50</t>
  </si>
  <si>
    <t>크론병[국소성 장염]</t>
  </si>
  <si>
    <t>S68</t>
  </si>
  <si>
    <t>손목 및 손의 외상성 절단</t>
  </si>
  <si>
    <t>C44</t>
  </si>
  <si>
    <t>기타 피부의 악성 신생물</t>
  </si>
  <si>
    <t>I26</t>
  </si>
  <si>
    <t>S67</t>
  </si>
  <si>
    <t>손목 및 손의 으깸손상</t>
  </si>
  <si>
    <t>C53</t>
  </si>
  <si>
    <t>자궁경부의 악성 신생물</t>
  </si>
  <si>
    <t>C92</t>
  </si>
  <si>
    <t>골수성 백혈병</t>
  </si>
  <si>
    <t>C15</t>
  </si>
  <si>
    <t>식도의 악성 신생물</t>
  </si>
  <si>
    <t>T84</t>
  </si>
  <si>
    <t>내부 정형외과적 인공삽입장치, 삽입물 및 이식편의 합병증</t>
  </si>
  <si>
    <t>K91</t>
  </si>
  <si>
    <t>달리 분류되지 않은 소화계통의 처치후 장애</t>
  </si>
  <si>
    <t>A75</t>
  </si>
  <si>
    <t>C90</t>
  </si>
  <si>
    <t>다발골수종 및 악성 형질세포신생물</t>
  </si>
  <si>
    <t>J14</t>
  </si>
  <si>
    <t>인플루엔자균에 의한 폐렴</t>
  </si>
  <si>
    <t>C77</t>
  </si>
  <si>
    <t>림프절의 이차성 및 상세불명의 악성 신생물</t>
  </si>
  <si>
    <t>I44</t>
  </si>
  <si>
    <t>방실차단 및 좌각차단</t>
  </si>
  <si>
    <t>L75</t>
  </si>
  <si>
    <t>아포크린땀샘장애</t>
  </si>
  <si>
    <t>M86</t>
  </si>
  <si>
    <t>C71</t>
  </si>
  <si>
    <t>뇌의 악성 신생물</t>
  </si>
  <si>
    <t>A15</t>
  </si>
  <si>
    <t>세균학적 및 조직학적으로 확인된 호흡기결핵</t>
  </si>
  <si>
    <t>D01</t>
  </si>
  <si>
    <t>기타 및 상세불명의 소화기관의 제자리암종</t>
  </si>
  <si>
    <t>I62</t>
  </si>
  <si>
    <t>기타 비외상성 두개내출혈</t>
  </si>
  <si>
    <t>R40</t>
  </si>
  <si>
    <t>기면, 혼미 및 혼수</t>
  </si>
  <si>
    <t>R47</t>
  </si>
  <si>
    <t>달리 분류되지 않은 언어장애</t>
  </si>
  <si>
    <t>I64</t>
  </si>
  <si>
    <t>출혈 또는 경색증으로 명시되지 않은 뇌졸중</t>
  </si>
  <si>
    <t>G95</t>
  </si>
  <si>
    <t>척수의 기타 질환</t>
  </si>
  <si>
    <t>O68</t>
  </si>
  <si>
    <t>태아스트레스[절박]가 합병된 진통 및 분만</t>
  </si>
  <si>
    <t>T42</t>
  </si>
  <si>
    <t>항뇌전증제, 진정제-수면제 및 항파킨슨제에 의한 중독</t>
  </si>
  <si>
    <t>S56</t>
  </si>
  <si>
    <t>아래팔 부위의 근육 및 힘줄의 손상</t>
  </si>
  <si>
    <t>C23</t>
  </si>
  <si>
    <t>담낭의 악성 신생물</t>
  </si>
  <si>
    <t>M30</t>
  </si>
  <si>
    <t>결절성 다발동맥염 및 관련 병태</t>
  </si>
  <si>
    <t>A02</t>
  </si>
  <si>
    <t>기타 살모넬라감염</t>
  </si>
  <si>
    <t>Z50</t>
  </si>
  <si>
    <t>재활처치를 포함한 치료를 위하여 보건서비스와 접하고 있는 사람</t>
  </si>
  <si>
    <t>K22</t>
  </si>
  <si>
    <t>식도의 기타 질환</t>
  </si>
  <si>
    <t>N21</t>
  </si>
  <si>
    <t>하부요로의 결석</t>
  </si>
  <si>
    <t>T82</t>
  </si>
  <si>
    <t>심장 및 혈관 인공삽입장치, 삽입물 및 이식편의 합병증</t>
  </si>
  <si>
    <t>M84</t>
  </si>
  <si>
    <t>골연속성의 장애</t>
  </si>
  <si>
    <t>C19</t>
  </si>
  <si>
    <t>직장구불결장접합부의 악성 신생물</t>
  </si>
  <si>
    <t>D16</t>
  </si>
  <si>
    <t>골 및 관절연골의 양성 신생물</t>
  </si>
  <si>
    <t>G91</t>
  </si>
  <si>
    <t>수두증</t>
  </si>
  <si>
    <t>I86</t>
  </si>
  <si>
    <t>기타 부위의 정맥류</t>
  </si>
  <si>
    <t>T58</t>
  </si>
  <si>
    <t>일산화탄소의 독성효과</t>
  </si>
  <si>
    <t>A16</t>
  </si>
  <si>
    <t>세균학적으로나 조직학적으로 확인되지 않은 호흡기결핵</t>
  </si>
  <si>
    <t>Z52</t>
  </si>
  <si>
    <t>기관 및 조직의 기증자</t>
  </si>
  <si>
    <t>D11</t>
  </si>
  <si>
    <t>주침샘의 양성 신생물</t>
  </si>
  <si>
    <t>S96</t>
  </si>
  <si>
    <t>발목 및 발 부위의 근육 및 힘줄의 손상</t>
  </si>
  <si>
    <t>Z09</t>
  </si>
  <si>
    <t>악성 신생물 이외의 병태에 대한 치료후 추적검사</t>
  </si>
  <si>
    <t>K72</t>
  </si>
  <si>
    <t>달리 분류되지 않은 간부전</t>
  </si>
  <si>
    <t>T18</t>
  </si>
  <si>
    <t>소화관속의 이물</t>
  </si>
  <si>
    <t>O00</t>
  </si>
  <si>
    <t>자궁외임신</t>
  </si>
  <si>
    <t>A37</t>
  </si>
  <si>
    <t>D70</t>
  </si>
  <si>
    <t>무과립구증</t>
  </si>
  <si>
    <t>N43</t>
  </si>
  <si>
    <t>음낭수종 및 정액류</t>
  </si>
  <si>
    <t>K43</t>
  </si>
  <si>
    <t>복벽탈장</t>
  </si>
  <si>
    <t>D09</t>
  </si>
  <si>
    <t>기타 및 상세불명 부위의 제자리암종</t>
  </si>
  <si>
    <t>J81</t>
  </si>
  <si>
    <t>폐부종</t>
  </si>
  <si>
    <t>O61</t>
  </si>
  <si>
    <t>유도분만의 실패</t>
  </si>
  <si>
    <t>O30</t>
  </si>
  <si>
    <t>다태임신</t>
  </si>
  <si>
    <t>S64</t>
  </si>
  <si>
    <t>손목 및 손 부위의 신경의 손상</t>
  </si>
  <si>
    <t>K09</t>
  </si>
  <si>
    <t>달리 분류되지 않은 구강영역의 낭</t>
  </si>
  <si>
    <t>D33</t>
  </si>
  <si>
    <t>뇌 및 중추신경계통의 기타 부분의 양성 신생물</t>
  </si>
  <si>
    <t>C49</t>
  </si>
  <si>
    <t>기타 결합조직 및 연조직의 악성 신생물</t>
  </si>
  <si>
    <t>D00</t>
  </si>
  <si>
    <t>구강, 식도 및 위의 제자리암종</t>
  </si>
  <si>
    <t>G41</t>
  </si>
  <si>
    <t>뇌전증지속상태</t>
  </si>
  <si>
    <t>U82</t>
  </si>
  <si>
    <t>베타락탐항생제 내성</t>
  </si>
  <si>
    <t>D46</t>
  </si>
  <si>
    <t>골수형성이상증후군</t>
  </si>
  <si>
    <t>I80</t>
  </si>
  <si>
    <t>정맥염 및 혈전정맥염</t>
  </si>
  <si>
    <t>H27</t>
  </si>
  <si>
    <t>수정체의 기타 장애</t>
  </si>
  <si>
    <t>O66</t>
  </si>
  <si>
    <t>기타 난산</t>
  </si>
  <si>
    <t>K42</t>
  </si>
  <si>
    <t>배꼽탈장</t>
  </si>
  <si>
    <t>J46</t>
  </si>
  <si>
    <t>천식지속상태</t>
  </si>
  <si>
    <t>O44</t>
  </si>
  <si>
    <t>전치태반</t>
  </si>
  <si>
    <t>D47</t>
  </si>
  <si>
    <t>림프, 조혈 및 관련 조직의 행동양식 불명 및 미상의 기타 신생물</t>
  </si>
  <si>
    <t>C85</t>
  </si>
  <si>
    <t>기타 및 상세불명 유형의 비호지킨림프종</t>
  </si>
  <si>
    <t>I77</t>
  </si>
  <si>
    <t>동맥 및 세동맥의 기타 장애</t>
  </si>
  <si>
    <t>D36</t>
  </si>
  <si>
    <t>기타 및 상세불명 부위의 양성 신생물</t>
  </si>
  <si>
    <t>S27</t>
  </si>
  <si>
    <t>기타 및 상세불명의 흉곽내기관의 손상</t>
  </si>
  <si>
    <t>K66</t>
  </si>
  <si>
    <t>복막의 기타 장애</t>
  </si>
  <si>
    <t>D43</t>
  </si>
  <si>
    <t>뇌 및 중추신경계통의 행동양식 불명 또는 미상의 신생물</t>
  </si>
  <si>
    <t>O36</t>
  </si>
  <si>
    <t>기타 알려진 또는 의심되는 태아문제에 대한 산모관리</t>
  </si>
  <si>
    <t>S14</t>
  </si>
  <si>
    <t>목부위의 신경 및 척수의 손상</t>
  </si>
  <si>
    <t>C91</t>
  </si>
  <si>
    <t>림프성 백혈병</t>
  </si>
  <si>
    <t>S65</t>
  </si>
  <si>
    <t>손목 및 손 부위의 혈관의 손상</t>
  </si>
  <si>
    <t>O14</t>
  </si>
  <si>
    <t>전자간</t>
  </si>
  <si>
    <t>I72</t>
  </si>
  <si>
    <t>기타 동맥류 및 박리</t>
  </si>
  <si>
    <t>Q83</t>
  </si>
  <si>
    <t>유방의 선천기형</t>
  </si>
  <si>
    <t>R13</t>
  </si>
  <si>
    <t>삼킴곤란</t>
  </si>
  <si>
    <t>M93</t>
  </si>
  <si>
    <t>기타 골연골병증</t>
  </si>
  <si>
    <t>Z43</t>
  </si>
  <si>
    <t>인공개구에 대한 관리를 위하여 보건서비스와 접하고 있는 사람</t>
  </si>
  <si>
    <t>T88</t>
  </si>
  <si>
    <t>달리 분류되지 않은 외과적 및 내과적 치료의 기타 합병증</t>
  </si>
  <si>
    <t>J85</t>
  </si>
  <si>
    <t>폐 및 종격의 농양</t>
  </si>
  <si>
    <t>F29</t>
  </si>
  <si>
    <t>상세불명의 비기질성 정신병</t>
  </si>
  <si>
    <t>O63</t>
  </si>
  <si>
    <t>지연진통</t>
  </si>
  <si>
    <t>N19</t>
  </si>
  <si>
    <t>상세불명의 신부전</t>
  </si>
  <si>
    <t>Q18</t>
  </si>
  <si>
    <t>얼굴 및 목의 기타 선천기형</t>
  </si>
  <si>
    <t>D14</t>
  </si>
  <si>
    <t>중이 및 호흡계통의 양성 신생물</t>
  </si>
  <si>
    <t>N12</t>
  </si>
  <si>
    <t>급성 또는 만성으로 명시되지 않은 세뇨관-간질신장염</t>
  </si>
  <si>
    <t>M32</t>
  </si>
  <si>
    <t>전신홍반루푸스</t>
  </si>
  <si>
    <t>D30</t>
  </si>
  <si>
    <t>비뇨기관의 양성 신생물</t>
  </si>
  <si>
    <t>Z54</t>
  </si>
  <si>
    <t>회복기</t>
  </si>
  <si>
    <t>I31</t>
  </si>
  <si>
    <t>심장막의 기타 질환</t>
  </si>
  <si>
    <t>F01</t>
  </si>
  <si>
    <t>혈관성 치매</t>
  </si>
  <si>
    <t>Q10</t>
  </si>
  <si>
    <t>눈꺼풀, 눈물기관 및 안와의 선천기형</t>
  </si>
  <si>
    <t>T67</t>
  </si>
  <si>
    <t>열 및 빛의 영향</t>
  </si>
  <si>
    <t>E66</t>
  </si>
  <si>
    <t>Z45</t>
  </si>
  <si>
    <t>이식장치의 조정 및 관리를 위하여 보건서비스와 접하고 있는 사람</t>
  </si>
  <si>
    <t>C66</t>
  </si>
  <si>
    <t>요관의 악성 신생물</t>
  </si>
  <si>
    <t>G61</t>
  </si>
  <si>
    <t>염증성 다발신경병증</t>
  </si>
  <si>
    <t>G12</t>
  </si>
  <si>
    <t>척수성 근위축 및 관련 증후군</t>
  </si>
  <si>
    <t>R99</t>
  </si>
  <si>
    <t>기타 불명확하고 상세불명의 사망원인</t>
  </si>
  <si>
    <t>F25</t>
  </si>
  <si>
    <t>조현정동장애</t>
  </si>
  <si>
    <t>D48</t>
  </si>
  <si>
    <t>기타 및 상세불명 부위의 행동양식 불명 또는 미상의 신생물</t>
  </si>
  <si>
    <t>G03</t>
  </si>
  <si>
    <t>기타 및 상세불명의 원인에 의한 수막염</t>
  </si>
  <si>
    <t>C32</t>
  </si>
  <si>
    <t>후두의 악성 신생물</t>
  </si>
  <si>
    <t>T60</t>
  </si>
  <si>
    <t>유해생물방제제(농약)의 독성효과</t>
  </si>
  <si>
    <t>N70</t>
  </si>
  <si>
    <t>난관염 및 난소염</t>
  </si>
  <si>
    <t>G04</t>
  </si>
  <si>
    <t>뇌염, 척수염 및 뇌척수염</t>
  </si>
  <si>
    <t>C17</t>
  </si>
  <si>
    <r>
      <rPr>
        <sz val="11"/>
        <rFont val="맑은 고딕"/>
        <family val="3"/>
        <charset val="129"/>
      </rPr>
      <t>소장의</t>
    </r>
    <r>
      <rPr>
        <sz val="11"/>
        <rFont val="Century Gothic"/>
        <family val="2"/>
      </rPr>
      <t xml:space="preserve"> </t>
    </r>
    <r>
      <rPr>
        <sz val="11"/>
        <rFont val="맑은 고딕"/>
        <family val="3"/>
        <charset val="129"/>
      </rPr>
      <t>악성</t>
    </r>
    <r>
      <rPr>
        <sz val="11"/>
        <rFont val="Century Gothic"/>
        <family val="2"/>
      </rPr>
      <t xml:space="preserve"> </t>
    </r>
    <r>
      <rPr>
        <sz val="11"/>
        <rFont val="맑은 고딕"/>
        <family val="3"/>
        <charset val="129"/>
      </rPr>
      <t>신생물</t>
    </r>
    <phoneticPr fontId="9" type="noConversion"/>
  </si>
  <si>
    <t>S36</t>
  </si>
  <si>
    <t>복강내기관의 손상</t>
  </si>
  <si>
    <t>순위</t>
  </si>
  <si>
    <t>코드</t>
  </si>
  <si>
    <t>질병</t>
    <phoneticPr fontId="9" type="noConversion"/>
  </si>
  <si>
    <r>
      <rPr>
        <b/>
        <sz val="11"/>
        <rFont val="맑은 고딕"/>
        <family val="2"/>
      </rPr>
      <t>환자수</t>
    </r>
    <r>
      <rPr>
        <b/>
        <sz val="11"/>
        <rFont val="Century Gothic"/>
        <family val="2"/>
      </rPr>
      <t>(</t>
    </r>
    <r>
      <rPr>
        <b/>
        <sz val="11"/>
        <rFont val="맑은 고딕"/>
        <family val="2"/>
        <charset val="129"/>
      </rPr>
      <t>입원+외래)</t>
    </r>
    <phoneticPr fontId="9" type="noConversion"/>
  </si>
  <si>
    <t>분포</t>
    <phoneticPr fontId="9" type="noConversion"/>
  </si>
  <si>
    <r>
      <rPr>
        <b/>
        <sz val="11"/>
        <rFont val="맑은 고딕"/>
        <family val="2"/>
      </rPr>
      <t>분류</t>
    </r>
    <phoneticPr fontId="9" type="noConversion"/>
  </si>
  <si>
    <r>
      <rPr>
        <b/>
        <sz val="11"/>
        <rFont val="맑은 고딕"/>
        <family val="2"/>
      </rPr>
      <t>희소가중치</t>
    </r>
    <phoneticPr fontId="9" type="noConversion"/>
  </si>
  <si>
    <t>비정형_시그널</t>
    <phoneticPr fontId="1" type="noConversion"/>
  </si>
  <si>
    <t>상급종합병원</t>
    <phoneticPr fontId="1" type="noConversion"/>
  </si>
  <si>
    <t>종합병원</t>
    <phoneticPr fontId="1" type="noConversion"/>
  </si>
  <si>
    <t>병원</t>
    <phoneticPr fontId="1" type="noConversion"/>
  </si>
  <si>
    <t>의원</t>
    <phoneticPr fontId="1" type="noConversion"/>
  </si>
  <si>
    <t>디지털 기기</t>
    <phoneticPr fontId="1" type="noConversion"/>
  </si>
  <si>
    <t>종양표지자_여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</si>
</sst>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0.00_ "/>
    <numFmt numFmtId="180" formatCode="#,##0.00_ 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777777"/>
      <name val="Verdana"/>
      <family val="2"/>
    </font>
    <font>
      <sz val="11"/>
      <color theme="1"/>
      <name val="맑은 고딕"/>
      <family val="3"/>
      <charset val="129"/>
      <scheme val="minor"/>
    </font>
    <font>
      <sz val="11"/>
      <name val="Century Gothic"/>
      <family val="2"/>
    </font>
    <font>
      <sz val="11"/>
      <name val="Century Gothic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Century Gothic"/>
      <family val="2"/>
    </font>
    <font>
      <b/>
      <sz val="11"/>
      <name val="맑은 고딕"/>
      <family val="2"/>
      <charset val="129"/>
    </font>
    <font>
      <b/>
      <sz val="11"/>
      <name val="맑은 고딕"/>
      <family val="2"/>
    </font>
    <font>
      <b/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CCCE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7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177" fontId="2" fillId="0" borderId="1" xfId="0" applyNumberFormat="1" applyFont="1" applyBorder="1" applyAlignment="1">
      <alignment horizontal="left" vertical="center"/>
    </xf>
    <xf numFmtId="177" fontId="2" fillId="0" borderId="1" xfId="0" applyNumberFormat="1" applyFont="1" applyBorder="1">
      <alignment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left" vertical="center"/>
    </xf>
    <xf numFmtId="177" fontId="2" fillId="0" borderId="1" xfId="0" applyNumberFormat="1" applyFont="1" applyBorder="1" applyAlignment="1">
      <alignment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3" fillId="0" borderId="1" xfId="1" applyNumberFormat="1" applyBorder="1" applyAlignment="1">
      <alignment horizontal="left" vertical="center"/>
    </xf>
    <xf numFmtId="177" fontId="3" fillId="0" borderId="1" xfId="1" applyNumberFormat="1" applyBorder="1" applyAlignment="1">
      <alignment horizontal="left" vertical="center" wrapText="1"/>
    </xf>
    <xf numFmtId="177" fontId="0" fillId="0" borderId="1" xfId="0" applyNumberForma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7" fontId="3" fillId="0" borderId="1" xfId="1" applyNumberForma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0" fontId="4" fillId="0" borderId="0" xfId="0" applyFont="1">
      <alignment vertical="center"/>
    </xf>
    <xf numFmtId="177" fontId="5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1" xfId="0" applyFill="1" applyBorder="1">
      <alignment vertical="center"/>
    </xf>
    <xf numFmtId="10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78" fontId="0" fillId="0" borderId="1" xfId="0" applyNumberFormat="1" applyBorder="1">
      <alignment vertical="center"/>
    </xf>
    <xf numFmtId="3" fontId="6" fillId="0" borderId="1" xfId="0" applyNumberFormat="1" applyFont="1" applyBorder="1" applyAlignment="1"/>
    <xf numFmtId="0" fontId="7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11"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BF8794-8B9D-42D4-8D8E-05D237E22CBD}" name="표1_711" displayName="표1_711" ref="I4:J24" totalsRowShown="0" headerRowDxfId="10">
  <autoFilter ref="I4:J24" xr:uid="{9FC813AE-9CAA-452F-BDFF-2B0D881C43A3}"/>
  <tableColumns count="2">
    <tableColumn id="1" xr3:uid="{6A1165D2-94E9-4294-9740-A6FC7AB3EA39}" name="행위"/>
    <tableColumn id="2" xr3:uid="{7938B233-B978-460E-8C23-7424D194ECE5}" name="단가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90B7ECE-3BA8-4E7A-B1CF-4611EE7E621A}" name="표2_1518" displayName="표2_1518" ref="Y4:Z8" totalsRowShown="0" headerRowDxfId="8">
  <autoFilter ref="Y4:Z8" xr:uid="{190B7ECE-3BA8-4E7A-B1CF-4611EE7E621A}"/>
  <tableColumns count="2">
    <tableColumn id="1" xr3:uid="{7FA13928-E729-438C-9C2D-CF3A9F08A423}" name="규모" dataDxfId="7"/>
    <tableColumn id="2" xr3:uid="{D3B41975-3071-46D2-83D1-0AE455119AFB}" name="가중치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947055E-5A6D-4925-BEE3-FBE0E121CBD4}" name="표3_1619" displayName="표3_1619" ref="AB4:AC9" totalsRowShown="0" headerRowDxfId="5">
  <autoFilter ref="AB4:AC9" xr:uid="{D947055E-5A6D-4925-BEE3-FBE0E121CBD4}"/>
  <tableColumns count="2">
    <tableColumn id="1" xr3:uid="{4CD133D4-32BA-480D-AAA4-7263B4BC01A4}" name="규모" dataDxfId="4"/>
    <tableColumn id="2" xr3:uid="{B8863C8E-3F95-4D16-BBC3-A6405B0D99DE}" name="진찰료_판정료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697A042-55C4-4362-AEC1-528BD82F4070}" name="표4_1720" displayName="표4_1720" ref="Y11:Z17" totalsRowShown="0" headerRowDxfId="2">
  <autoFilter ref="Y11:Z17" xr:uid="{A697A042-55C4-4362-AEC1-528BD82F4070}"/>
  <tableColumns count="2">
    <tableColumn id="1" xr3:uid="{4156CFB1-F869-4A64-99C5-41A03FC94DF0}" name="데이터 관리 유형" dataDxfId="1"/>
    <tableColumn id="2" xr3:uid="{8749222A-655D-417E-B328-6D8F9D9AFA8B}" name="가중치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s://www.law.go.kr/lumLsLinkPop.do?lspttninfSeq=61681&amp;chrClsCd=010202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://rulesvcmr.hira.or.kr/service/law/lawFullScreenContent.do?seq=269&amp;historySeq=17&amp;type=0" TargetMode="External"/><Relationship Id="rId1" Type="http://schemas.openxmlformats.org/officeDocument/2006/relationships/hyperlink" Target="https://www.koicd.kr/ins/act.do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https://www.law.go.kr/%EB%B2%95%EB%A0%B9/%EB%B6%80%EA%B0%80%EA%B0%80%EC%B9%98%EC%84%B8%EB%B2%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D1E1-6302-4371-B926-DD7C2C56A6F6}">
  <dimension ref="B2:AC663"/>
  <sheetViews>
    <sheetView tabSelected="1" zoomScale="85" zoomScaleNormal="85" workbookViewId="0">
      <selection activeCell="C22" sqref="C22"/>
    </sheetView>
  </sheetViews>
  <sheetFormatPr defaultRowHeight="17.399999999999999" x14ac:dyDescent="0.4"/>
  <cols>
    <col min="1" max="1" width="3.5" customWidth="1"/>
    <col min="2" max="2" width="26.19921875" customWidth="1"/>
    <col min="3" max="3" width="25.09765625" bestFit="1" customWidth="1"/>
    <col min="4" max="4" width="32.09765625" bestFit="1" customWidth="1"/>
    <col min="5" max="5" width="12.69921875" style="1" bestFit="1" customWidth="1"/>
    <col min="6" max="6" width="8.8984375" style="13" bestFit="1" customWidth="1"/>
    <col min="7" max="7" width="106" customWidth="1"/>
    <col min="8" max="8" width="4.19921875" customWidth="1"/>
    <col min="9" max="9" width="32.3984375" customWidth="1"/>
    <col min="10" max="10" width="20.09765625" customWidth="1"/>
    <col min="11" max="11" width="3.09765625" customWidth="1"/>
    <col min="12" max="13" width="6" bestFit="1" customWidth="1"/>
    <col min="14" max="14" width="67.09765625" bestFit="1" customWidth="1"/>
    <col min="15" max="15" width="25.3984375" style="29" bestFit="1" customWidth="1"/>
    <col min="16" max="16" width="15.69921875" style="21" bestFit="1" customWidth="1"/>
    <col min="17" max="17" width="9" style="1"/>
    <col min="18" max="18" width="11.19921875" style="25" bestFit="1" customWidth="1"/>
    <col min="20" max="20" width="16.69921875" style="1" bestFit="1" customWidth="1"/>
    <col min="21" max="21" width="20.69921875" style="1" bestFit="1" customWidth="1"/>
    <col min="22" max="22" width="11.69921875" style="1" bestFit="1" customWidth="1"/>
    <col min="23" max="23" width="12.59765625" style="1" customWidth="1"/>
    <col min="25" max="25" width="20.09765625" bestFit="1" customWidth="1"/>
    <col min="26" max="26" width="13.8984375" bestFit="1" customWidth="1"/>
    <col min="28" max="28" width="20.09765625" bestFit="1" customWidth="1"/>
    <col min="29" max="29" width="18.09765625" style="1" bestFit="1" customWidth="1"/>
  </cols>
  <sheetData>
    <row r="2" spans="2:29" x14ac:dyDescent="0.4">
      <c r="B2" s="6" t="s">
        <v>70</v>
      </c>
      <c r="C2" s="6" t="s">
        <v>90</v>
      </c>
    </row>
    <row r="3" spans="2:29" x14ac:dyDescent="0.4">
      <c r="N3" s="30"/>
    </row>
    <row r="4" spans="2:29" x14ac:dyDescent="0.4">
      <c r="B4" s="2"/>
      <c r="C4" s="2" t="s">
        <v>0</v>
      </c>
      <c r="D4" s="2" t="s">
        <v>1</v>
      </c>
      <c r="E4" s="2" t="s">
        <v>3</v>
      </c>
      <c r="F4" s="2" t="s">
        <v>8</v>
      </c>
      <c r="G4" s="2" t="s">
        <v>16</v>
      </c>
      <c r="I4" s="1" t="s">
        <v>15</v>
      </c>
      <c r="J4" s="1" t="s">
        <v>8</v>
      </c>
      <c r="K4" s="1"/>
      <c r="L4" s="38" t="s">
        <v>1407</v>
      </c>
      <c r="M4" s="38" t="s">
        <v>1408</v>
      </c>
      <c r="N4" s="39" t="s">
        <v>1409</v>
      </c>
      <c r="O4" s="40" t="s">
        <v>1410</v>
      </c>
      <c r="P4" s="41" t="s">
        <v>1411</v>
      </c>
      <c r="Q4" s="38" t="s">
        <v>1412</v>
      </c>
      <c r="R4" s="38" t="s">
        <v>1413</v>
      </c>
      <c r="T4" s="20" t="s">
        <v>26</v>
      </c>
      <c r="U4" s="20" t="s">
        <v>4</v>
      </c>
      <c r="V4" s="20" t="s">
        <v>36</v>
      </c>
      <c r="W4" s="20" t="s">
        <v>24</v>
      </c>
      <c r="Y4" s="1" t="s">
        <v>9</v>
      </c>
      <c r="Z4" s="9" t="s">
        <v>3</v>
      </c>
      <c r="AB4" s="1" t="s">
        <v>9</v>
      </c>
      <c r="AC4" s="1" t="s">
        <v>19</v>
      </c>
    </row>
    <row r="5" spans="2:29" x14ac:dyDescent="0.4">
      <c r="B5" s="42"/>
      <c r="C5" s="7" t="s">
        <v>15</v>
      </c>
      <c r="D5" s="2" t="s">
        <v>1420</v>
      </c>
      <c r="E5" s="23" t="s">
        <v>17</v>
      </c>
      <c r="F5" s="23">
        <f>VLOOKUP($D$5,표1_711[],2,)</f>
        <v>28000</v>
      </c>
      <c r="G5" s="15" t="s">
        <v>18</v>
      </c>
      <c r="I5" t="s">
        <v>74</v>
      </c>
      <c r="J5" s="1">
        <v>5610</v>
      </c>
      <c r="K5" s="1"/>
      <c r="L5" s="33">
        <v>1</v>
      </c>
      <c r="M5" s="33" t="s">
        <v>107</v>
      </c>
      <c r="N5" s="34" t="s">
        <v>108</v>
      </c>
      <c r="O5" s="27">
        <v>19588761</v>
      </c>
      <c r="P5" s="35">
        <v>6.1379516594171539</v>
      </c>
      <c r="Q5" s="28" t="s">
        <v>102</v>
      </c>
      <c r="R5" s="5">
        <v>-0.8</v>
      </c>
      <c r="T5" s="1" t="s">
        <v>25</v>
      </c>
      <c r="U5" s="9">
        <v>-0.8</v>
      </c>
      <c r="V5" s="9" t="s">
        <v>91</v>
      </c>
      <c r="W5" s="1" t="s">
        <v>31</v>
      </c>
      <c r="Y5" s="10" t="s">
        <v>11</v>
      </c>
      <c r="Z5" s="9">
        <v>0.15</v>
      </c>
      <c r="AB5" s="10" t="s">
        <v>1419</v>
      </c>
      <c r="AC5" s="1">
        <v>0</v>
      </c>
    </row>
    <row r="6" spans="2:29" x14ac:dyDescent="0.4">
      <c r="B6" s="43"/>
      <c r="C6" s="7" t="s">
        <v>9</v>
      </c>
      <c r="D6" s="2" t="s">
        <v>10</v>
      </c>
      <c r="E6" s="24">
        <f>VLOOKUP($D$6,표2_1518[],2,)</f>
        <v>0.15</v>
      </c>
      <c r="F6" s="23">
        <f>$F$5+($F$5*E6)</f>
        <v>32200</v>
      </c>
      <c r="G6" s="15" t="s">
        <v>20</v>
      </c>
      <c r="I6" t="s">
        <v>75</v>
      </c>
      <c r="J6" s="1">
        <v>6000</v>
      </c>
      <c r="K6" s="1"/>
      <c r="L6" s="33">
        <v>2</v>
      </c>
      <c r="M6" s="33" t="s">
        <v>109</v>
      </c>
      <c r="N6" s="34" t="s">
        <v>110</v>
      </c>
      <c r="O6" s="27">
        <v>17613550</v>
      </c>
      <c r="P6" s="35">
        <v>5.5190381081645237</v>
      </c>
      <c r="Q6" s="28" t="s">
        <v>27</v>
      </c>
      <c r="R6" s="5">
        <v>-0.7</v>
      </c>
      <c r="T6" s="1" t="s">
        <v>27</v>
      </c>
      <c r="U6" s="9">
        <v>-0.7</v>
      </c>
      <c r="V6" s="9" t="s">
        <v>92</v>
      </c>
      <c r="W6" s="1" t="s">
        <v>93</v>
      </c>
      <c r="Y6" s="10" t="s">
        <v>12</v>
      </c>
      <c r="Z6" s="9">
        <v>0.2</v>
      </c>
      <c r="AB6" s="10" t="s">
        <v>1418</v>
      </c>
      <c r="AC6" s="1">
        <v>15690</v>
      </c>
    </row>
    <row r="7" spans="2:29" x14ac:dyDescent="0.4">
      <c r="B7" s="43"/>
      <c r="C7" s="12" t="s">
        <v>66</v>
      </c>
      <c r="D7" s="2" t="s">
        <v>17</v>
      </c>
      <c r="E7" s="5">
        <v>0.1</v>
      </c>
      <c r="F7" s="14">
        <f>F6+(F6*$E$7)</f>
        <v>35420</v>
      </c>
      <c r="G7" s="16" t="s">
        <v>38</v>
      </c>
      <c r="I7" t="s">
        <v>76</v>
      </c>
      <c r="J7" s="1">
        <v>1000</v>
      </c>
      <c r="K7" s="1"/>
      <c r="L7" s="33">
        <v>3</v>
      </c>
      <c r="M7" s="33" t="s">
        <v>111</v>
      </c>
      <c r="N7" s="34" t="s">
        <v>112</v>
      </c>
      <c r="O7" s="27">
        <v>7405292</v>
      </c>
      <c r="P7" s="35">
        <v>2.3203777063729847</v>
      </c>
      <c r="Q7" s="28" t="s">
        <v>28</v>
      </c>
      <c r="R7" s="5">
        <v>-0.6</v>
      </c>
      <c r="T7" s="1" t="s">
        <v>28</v>
      </c>
      <c r="U7" s="9">
        <v>-0.6</v>
      </c>
      <c r="V7" s="9" t="s">
        <v>94</v>
      </c>
      <c r="W7" s="1" t="s">
        <v>32</v>
      </c>
      <c r="Y7" s="10" t="s">
        <v>13</v>
      </c>
      <c r="Z7" s="9">
        <v>0.25</v>
      </c>
      <c r="AB7" s="11" t="s">
        <v>1417</v>
      </c>
      <c r="AC7" s="1">
        <v>15640</v>
      </c>
    </row>
    <row r="8" spans="2:29" x14ac:dyDescent="0.4">
      <c r="B8" s="43"/>
      <c r="I8" t="s">
        <v>77</v>
      </c>
      <c r="J8" s="1">
        <v>10000</v>
      </c>
      <c r="K8" s="1"/>
      <c r="L8" s="33">
        <v>4</v>
      </c>
      <c r="M8" s="33" t="s">
        <v>113</v>
      </c>
      <c r="N8" s="34" t="s">
        <v>114</v>
      </c>
      <c r="O8" s="27">
        <v>7333350</v>
      </c>
      <c r="P8" s="35">
        <v>2.2978353659829116</v>
      </c>
      <c r="Q8" s="28" t="s">
        <v>28</v>
      </c>
      <c r="R8" s="5">
        <v>-0.6</v>
      </c>
      <c r="T8" s="1" t="s">
        <v>29</v>
      </c>
      <c r="U8" s="9">
        <v>-0.5</v>
      </c>
      <c r="V8" s="9" t="s">
        <v>95</v>
      </c>
      <c r="W8" s="1" t="s">
        <v>33</v>
      </c>
      <c r="Y8" s="10" t="s">
        <v>14</v>
      </c>
      <c r="Z8" s="9">
        <v>0.3</v>
      </c>
      <c r="AB8" s="10" t="s">
        <v>1416</v>
      </c>
      <c r="AC8" s="1">
        <v>17400</v>
      </c>
    </row>
    <row r="9" spans="2:29" x14ac:dyDescent="0.4">
      <c r="B9" s="43"/>
      <c r="C9" s="44" t="s">
        <v>21</v>
      </c>
      <c r="D9" s="45"/>
      <c r="E9" s="46"/>
      <c r="F9" s="14">
        <f>F7</f>
        <v>35420</v>
      </c>
      <c r="G9" s="3" t="s">
        <v>22</v>
      </c>
      <c r="I9" t="s">
        <v>78</v>
      </c>
      <c r="J9" s="1">
        <v>21000</v>
      </c>
      <c r="K9" s="1"/>
      <c r="L9" s="33">
        <v>5</v>
      </c>
      <c r="M9" s="33" t="s">
        <v>115</v>
      </c>
      <c r="N9" s="34" t="s">
        <v>116</v>
      </c>
      <c r="O9" s="27">
        <v>6324980</v>
      </c>
      <c r="P9" s="35">
        <v>1.9818722320814628</v>
      </c>
      <c r="Q9" s="28" t="s">
        <v>28</v>
      </c>
      <c r="R9" s="5">
        <v>-0.6</v>
      </c>
      <c r="T9" s="1" t="s">
        <v>30</v>
      </c>
      <c r="U9" s="9">
        <v>-0.4</v>
      </c>
      <c r="V9" s="31" t="s">
        <v>96</v>
      </c>
      <c r="W9" s="1" t="s">
        <v>34</v>
      </c>
      <c r="AB9" t="s">
        <v>1415</v>
      </c>
      <c r="AC9" s="1">
        <v>19160</v>
      </c>
    </row>
    <row r="10" spans="2:29" x14ac:dyDescent="0.4">
      <c r="B10" s="47"/>
      <c r="C10" s="8" t="s">
        <v>2</v>
      </c>
      <c r="D10" s="17" t="s">
        <v>17</v>
      </c>
      <c r="E10" s="5" t="s">
        <v>17</v>
      </c>
      <c r="F10" s="14">
        <f>F9</f>
        <v>35420</v>
      </c>
      <c r="G10" s="4" t="s">
        <v>23</v>
      </c>
      <c r="I10" t="s">
        <v>79</v>
      </c>
      <c r="J10" s="1">
        <v>28000</v>
      </c>
      <c r="K10" s="1"/>
      <c r="L10" s="33">
        <v>6</v>
      </c>
      <c r="M10" s="33" t="s">
        <v>117</v>
      </c>
      <c r="N10" s="34" t="s">
        <v>118</v>
      </c>
      <c r="O10" s="27">
        <v>6242284</v>
      </c>
      <c r="P10" s="35">
        <v>1.9559602282325639</v>
      </c>
      <c r="Q10" s="28" t="s">
        <v>28</v>
      </c>
      <c r="R10" s="5">
        <v>-0.6</v>
      </c>
      <c r="T10" s="1" t="s">
        <v>97</v>
      </c>
      <c r="U10" s="9">
        <v>-0.3</v>
      </c>
      <c r="V10" s="31" t="s">
        <v>98</v>
      </c>
      <c r="W10" s="1" t="s">
        <v>99</v>
      </c>
    </row>
    <row r="11" spans="2:29" x14ac:dyDescent="0.4">
      <c r="B11" s="47"/>
      <c r="C11" s="8" t="s">
        <v>4</v>
      </c>
      <c r="D11" s="18" t="s">
        <v>140</v>
      </c>
      <c r="E11" s="5">
        <f>VLOOKUP($D$11,$N$4:$R$302,5,)</f>
        <v>-0.6</v>
      </c>
      <c r="F11" s="14">
        <f>F10+(F10*E11)</f>
        <v>14168</v>
      </c>
      <c r="G11" s="4" t="s">
        <v>65</v>
      </c>
      <c r="I11" t="s">
        <v>80</v>
      </c>
      <c r="J11" s="1">
        <v>15000</v>
      </c>
      <c r="K11" s="1"/>
      <c r="L11" s="33">
        <v>7</v>
      </c>
      <c r="M11" s="33" t="s">
        <v>119</v>
      </c>
      <c r="N11" s="34" t="s">
        <v>120</v>
      </c>
      <c r="O11" s="27">
        <v>5861899</v>
      </c>
      <c r="P11" s="35">
        <v>1.8367702119794995</v>
      </c>
      <c r="Q11" s="28" t="s">
        <v>28</v>
      </c>
      <c r="R11" s="5">
        <v>-0.6</v>
      </c>
      <c r="T11" s="1" t="s">
        <v>100</v>
      </c>
      <c r="U11" s="9">
        <v>-0.2</v>
      </c>
      <c r="V11" s="9" t="s">
        <v>101</v>
      </c>
      <c r="W11" s="1" t="s">
        <v>35</v>
      </c>
      <c r="Y11" s="20" t="s">
        <v>58</v>
      </c>
      <c r="Z11" s="20" t="s">
        <v>3</v>
      </c>
    </row>
    <row r="12" spans="2:29" x14ac:dyDescent="0.4">
      <c r="B12" s="8"/>
      <c r="C12" s="8" t="s">
        <v>5</v>
      </c>
      <c r="D12" s="18" t="str">
        <f>D11</f>
        <v>2형 당뇨병</v>
      </c>
      <c r="E12" s="5">
        <v>0.2</v>
      </c>
      <c r="F12" s="14">
        <f>F11+(F11*E12)</f>
        <v>17001.599999999999</v>
      </c>
      <c r="G12" s="4" t="s">
        <v>104</v>
      </c>
      <c r="I12" t="s">
        <v>81</v>
      </c>
      <c r="J12" s="1">
        <v>5000</v>
      </c>
      <c r="K12" s="1"/>
      <c r="L12" s="33">
        <v>8</v>
      </c>
      <c r="M12" s="33" t="s">
        <v>121</v>
      </c>
      <c r="N12" s="34" t="s">
        <v>122</v>
      </c>
      <c r="O12" s="27">
        <v>5138223</v>
      </c>
      <c r="P12" s="35">
        <v>1.6100132310208586</v>
      </c>
      <c r="Q12" s="28" t="s">
        <v>28</v>
      </c>
      <c r="R12" s="5">
        <v>-0.6</v>
      </c>
      <c r="Y12" s="1" t="s">
        <v>59</v>
      </c>
      <c r="Z12" s="9">
        <v>0.05</v>
      </c>
    </row>
    <row r="13" spans="2:29" x14ac:dyDescent="0.4">
      <c r="B13" s="8"/>
      <c r="C13" s="8" t="s">
        <v>6</v>
      </c>
      <c r="D13" s="18" t="s">
        <v>103</v>
      </c>
      <c r="E13" s="5">
        <f>VLOOKUP($D$13,표4_1720[],2,)</f>
        <v>0.05</v>
      </c>
      <c r="F13" s="14">
        <f>F12+(F12*E13)</f>
        <v>17851.68</v>
      </c>
      <c r="G13" s="4" t="s">
        <v>64</v>
      </c>
      <c r="I13" t="s">
        <v>82</v>
      </c>
      <c r="J13" s="1">
        <v>5610</v>
      </c>
      <c r="K13" s="1"/>
      <c r="L13" s="33">
        <v>9</v>
      </c>
      <c r="M13" s="33" t="s">
        <v>123</v>
      </c>
      <c r="N13" s="34" t="s">
        <v>124</v>
      </c>
      <c r="O13" s="27">
        <v>4853542</v>
      </c>
      <c r="P13" s="35">
        <v>1.5208111515042146</v>
      </c>
      <c r="Q13" s="28" t="s">
        <v>28</v>
      </c>
      <c r="R13" s="5">
        <v>-0.6</v>
      </c>
      <c r="Y13" s="1" t="s">
        <v>60</v>
      </c>
      <c r="Z13" s="9">
        <v>0.1</v>
      </c>
    </row>
    <row r="14" spans="2:29" ht="36.6" customHeight="1" x14ac:dyDescent="0.4">
      <c r="B14" s="8"/>
      <c r="C14" s="8" t="s">
        <v>7</v>
      </c>
      <c r="D14" s="18" t="s">
        <v>57</v>
      </c>
      <c r="E14" s="5">
        <v>0.1</v>
      </c>
      <c r="F14" s="14">
        <f>F13+(F13*E14)</f>
        <v>19636.848000000002</v>
      </c>
      <c r="G14" s="19" t="s">
        <v>37</v>
      </c>
      <c r="I14" t="s">
        <v>83</v>
      </c>
      <c r="J14" s="1">
        <v>1000</v>
      </c>
      <c r="K14" s="1"/>
      <c r="L14" s="33">
        <v>10</v>
      </c>
      <c r="M14" s="33" t="s">
        <v>125</v>
      </c>
      <c r="N14" s="34" t="s">
        <v>126</v>
      </c>
      <c r="O14" s="27">
        <v>4741274</v>
      </c>
      <c r="P14" s="35">
        <v>1.4856330431542559</v>
      </c>
      <c r="Q14" s="28" t="s">
        <v>28</v>
      </c>
      <c r="R14" s="5">
        <v>-0.6</v>
      </c>
      <c r="Y14" s="1" t="s">
        <v>1414</v>
      </c>
      <c r="Z14" s="9">
        <v>0.15</v>
      </c>
    </row>
    <row r="15" spans="2:29" x14ac:dyDescent="0.4">
      <c r="I15" t="s">
        <v>84</v>
      </c>
      <c r="J15" s="1">
        <v>1000</v>
      </c>
      <c r="K15" s="1"/>
      <c r="L15" s="33">
        <v>11</v>
      </c>
      <c r="M15" s="33" t="s">
        <v>127</v>
      </c>
      <c r="N15" s="34" t="s">
        <v>128</v>
      </c>
      <c r="O15" s="27">
        <v>4750831</v>
      </c>
      <c r="P15" s="35">
        <v>1.4886276380655445</v>
      </c>
      <c r="Q15" s="28" t="s">
        <v>28</v>
      </c>
      <c r="R15" s="5">
        <v>-0.6</v>
      </c>
      <c r="Y15" s="1" t="s">
        <v>61</v>
      </c>
      <c r="Z15" s="9">
        <v>0.15</v>
      </c>
    </row>
    <row r="16" spans="2:29" x14ac:dyDescent="0.4">
      <c r="B16" s="48" t="s">
        <v>72</v>
      </c>
      <c r="C16" s="48"/>
      <c r="D16" s="48"/>
      <c r="E16" s="48"/>
      <c r="F16" s="26">
        <f>F14</f>
        <v>19636.848000000002</v>
      </c>
      <c r="G16" s="27" t="s">
        <v>106</v>
      </c>
      <c r="I16" t="s">
        <v>85</v>
      </c>
      <c r="J16" s="1">
        <v>1500</v>
      </c>
      <c r="K16" s="1"/>
      <c r="L16" s="33">
        <v>12</v>
      </c>
      <c r="M16" s="33" t="s">
        <v>129</v>
      </c>
      <c r="N16" s="34" t="s">
        <v>130</v>
      </c>
      <c r="O16" s="27">
        <v>4488282</v>
      </c>
      <c r="P16" s="35">
        <v>1.4063604099224112</v>
      </c>
      <c r="Q16" s="28" t="s">
        <v>28</v>
      </c>
      <c r="R16" s="5">
        <v>-0.6</v>
      </c>
      <c r="Y16" s="1" t="s">
        <v>62</v>
      </c>
      <c r="Z16" s="9">
        <v>0.2</v>
      </c>
    </row>
    <row r="17" spans="2:26" x14ac:dyDescent="0.4">
      <c r="B17" s="48" t="s">
        <v>73</v>
      </c>
      <c r="C17" s="48"/>
      <c r="D17" s="48"/>
      <c r="E17" s="48"/>
      <c r="F17" s="14">
        <f>F16*60%</f>
        <v>11782.1088</v>
      </c>
      <c r="G17" s="27" t="s">
        <v>105</v>
      </c>
      <c r="I17" t="s">
        <v>87</v>
      </c>
      <c r="J17" s="1">
        <v>5610</v>
      </c>
      <c r="K17" s="1"/>
      <c r="L17" s="33">
        <v>13</v>
      </c>
      <c r="M17" s="33" t="s">
        <v>131</v>
      </c>
      <c r="N17" s="34" t="s">
        <v>132</v>
      </c>
      <c r="O17" s="27">
        <v>4651320</v>
      </c>
      <c r="P17" s="35">
        <v>1.4574468141440999</v>
      </c>
      <c r="Q17" s="28" t="s">
        <v>28</v>
      </c>
      <c r="R17" s="5">
        <v>-0.6</v>
      </c>
      <c r="Y17" s="1" t="s">
        <v>63</v>
      </c>
      <c r="Z17" s="9">
        <v>0.25</v>
      </c>
    </row>
    <row r="18" spans="2:26" x14ac:dyDescent="0.4">
      <c r="I18" t="s">
        <v>86</v>
      </c>
      <c r="J18" s="1">
        <v>5610</v>
      </c>
      <c r="K18" s="1"/>
      <c r="L18" s="33">
        <v>14</v>
      </c>
      <c r="M18" s="33" t="s">
        <v>133</v>
      </c>
      <c r="N18" s="34" t="s">
        <v>134</v>
      </c>
      <c r="O18" s="27">
        <v>4395234</v>
      </c>
      <c r="P18" s="35">
        <v>1.3772047054852878</v>
      </c>
      <c r="Q18" s="28" t="s">
        <v>28</v>
      </c>
      <c r="R18" s="5">
        <v>-0.6</v>
      </c>
    </row>
    <row r="19" spans="2:26" x14ac:dyDescent="0.4">
      <c r="I19" t="s">
        <v>88</v>
      </c>
      <c r="J19" s="1">
        <v>5610</v>
      </c>
      <c r="K19" s="1"/>
      <c r="L19" s="33">
        <v>15</v>
      </c>
      <c r="M19" s="33" t="s">
        <v>135</v>
      </c>
      <c r="N19" s="34" t="s">
        <v>136</v>
      </c>
      <c r="O19" s="27">
        <v>4233040</v>
      </c>
      <c r="P19" s="35">
        <v>1.3263827606237673</v>
      </c>
      <c r="Q19" s="28" t="s">
        <v>28</v>
      </c>
      <c r="R19" s="5">
        <v>-0.6</v>
      </c>
    </row>
    <row r="20" spans="2:26" x14ac:dyDescent="0.4">
      <c r="I20" t="s">
        <v>89</v>
      </c>
      <c r="J20" s="1">
        <v>5000</v>
      </c>
      <c r="K20" s="1"/>
      <c r="L20" s="33">
        <v>16</v>
      </c>
      <c r="M20" s="33" t="s">
        <v>137</v>
      </c>
      <c r="N20" s="34" t="s">
        <v>138</v>
      </c>
      <c r="O20" s="27">
        <v>4175298</v>
      </c>
      <c r="P20" s="35">
        <v>1.3082898549663822</v>
      </c>
      <c r="Q20" s="28" t="s">
        <v>28</v>
      </c>
      <c r="R20" s="5">
        <v>-0.6</v>
      </c>
    </row>
    <row r="21" spans="2:26" x14ac:dyDescent="0.4">
      <c r="F21" s="32"/>
      <c r="I21" t="s">
        <v>67</v>
      </c>
      <c r="J21" s="1">
        <v>2500</v>
      </c>
      <c r="K21" s="1"/>
      <c r="L21" s="33">
        <v>17</v>
      </c>
      <c r="M21" s="33" t="s">
        <v>139</v>
      </c>
      <c r="N21" s="34" t="s">
        <v>140</v>
      </c>
      <c r="O21" s="27">
        <v>3650935</v>
      </c>
      <c r="P21" s="35">
        <v>1.143985703928603</v>
      </c>
      <c r="Q21" s="28" t="s">
        <v>28</v>
      </c>
      <c r="R21" s="5">
        <v>-0.6</v>
      </c>
    </row>
    <row r="22" spans="2:26" x14ac:dyDescent="0.4">
      <c r="I22" t="s">
        <v>68</v>
      </c>
      <c r="J22" s="1">
        <v>3000</v>
      </c>
      <c r="K22" s="1"/>
      <c r="L22" s="33">
        <v>18</v>
      </c>
      <c r="M22" s="33" t="s">
        <v>141</v>
      </c>
      <c r="N22" s="34" t="s">
        <v>142</v>
      </c>
      <c r="O22" s="27">
        <v>3320553</v>
      </c>
      <c r="P22" s="35">
        <v>1.0404636514036087</v>
      </c>
      <c r="Q22" s="28" t="s">
        <v>28</v>
      </c>
      <c r="R22" s="5">
        <v>-0.6</v>
      </c>
    </row>
    <row r="23" spans="2:26" x14ac:dyDescent="0.4">
      <c r="I23" t="s">
        <v>69</v>
      </c>
      <c r="J23" s="1">
        <v>3000</v>
      </c>
      <c r="K23" s="1"/>
      <c r="L23" s="33">
        <v>19</v>
      </c>
      <c r="M23" s="33" t="s">
        <v>143</v>
      </c>
      <c r="N23" s="34" t="s">
        <v>144</v>
      </c>
      <c r="O23" s="27">
        <v>3313000</v>
      </c>
      <c r="P23" s="35">
        <v>1.0380969908024826</v>
      </c>
      <c r="Q23" s="28" t="s">
        <v>28</v>
      </c>
      <c r="R23" s="5">
        <v>-0.6</v>
      </c>
    </row>
    <row r="24" spans="2:26" x14ac:dyDescent="0.4">
      <c r="I24" t="s">
        <v>71</v>
      </c>
      <c r="J24" s="1">
        <v>2000</v>
      </c>
      <c r="K24" s="1"/>
      <c r="L24" s="33">
        <v>20</v>
      </c>
      <c r="M24" s="33" t="s">
        <v>145</v>
      </c>
      <c r="N24" s="34" t="s">
        <v>146</v>
      </c>
      <c r="O24" s="27">
        <v>3423043</v>
      </c>
      <c r="P24" s="35">
        <v>1.0725779165974954</v>
      </c>
      <c r="Q24" s="28" t="s">
        <v>28</v>
      </c>
      <c r="R24" s="5">
        <v>-0.6</v>
      </c>
    </row>
    <row r="25" spans="2:26" x14ac:dyDescent="0.4">
      <c r="J25" s="1"/>
      <c r="K25" s="1"/>
      <c r="L25" s="33">
        <v>21</v>
      </c>
      <c r="M25" s="33" t="s">
        <v>147</v>
      </c>
      <c r="N25" s="34" t="s">
        <v>148</v>
      </c>
      <c r="O25" s="27">
        <v>3294503</v>
      </c>
      <c r="P25" s="35">
        <v>1.0323011320524453</v>
      </c>
      <c r="Q25" s="28" t="s">
        <v>28</v>
      </c>
      <c r="R25" s="5">
        <v>-0.6</v>
      </c>
    </row>
    <row r="26" spans="2:26" x14ac:dyDescent="0.4">
      <c r="J26" s="1"/>
      <c r="K26" s="1"/>
      <c r="L26" s="33">
        <v>22</v>
      </c>
      <c r="M26" s="33" t="s">
        <v>149</v>
      </c>
      <c r="N26" s="34" t="s">
        <v>150</v>
      </c>
      <c r="O26" s="27">
        <v>3223407</v>
      </c>
      <c r="P26" s="35">
        <v>1.0100238777034887</v>
      </c>
      <c r="Q26" s="28" t="s">
        <v>28</v>
      </c>
      <c r="R26" s="5">
        <v>-0.6</v>
      </c>
    </row>
    <row r="27" spans="2:26" x14ac:dyDescent="0.4">
      <c r="J27" s="1"/>
      <c r="K27" s="1"/>
      <c r="L27" s="33">
        <v>23</v>
      </c>
      <c r="M27" s="33" t="s">
        <v>151</v>
      </c>
      <c r="N27" s="34" t="s">
        <v>152</v>
      </c>
      <c r="O27" s="27">
        <v>2630478</v>
      </c>
      <c r="P27" s="35">
        <v>0.82423522371630931</v>
      </c>
      <c r="Q27" s="28" t="s">
        <v>29</v>
      </c>
      <c r="R27" s="5">
        <v>-0.5</v>
      </c>
    </row>
    <row r="28" spans="2:26" x14ac:dyDescent="0.4">
      <c r="J28" s="1"/>
      <c r="K28" s="1"/>
      <c r="L28" s="33">
        <v>24</v>
      </c>
      <c r="M28" s="33" t="s">
        <v>153</v>
      </c>
      <c r="N28" s="34" t="s">
        <v>154</v>
      </c>
      <c r="O28" s="27">
        <v>2582023</v>
      </c>
      <c r="P28" s="35">
        <v>0.80905231104219699</v>
      </c>
      <c r="Q28" s="28" t="s">
        <v>29</v>
      </c>
      <c r="R28" s="5">
        <v>-0.5</v>
      </c>
    </row>
    <row r="29" spans="2:26" x14ac:dyDescent="0.4">
      <c r="J29" s="1"/>
      <c r="K29" s="1"/>
      <c r="L29" s="33">
        <v>25</v>
      </c>
      <c r="M29" s="33" t="s">
        <v>155</v>
      </c>
      <c r="N29" s="34" t="s">
        <v>156</v>
      </c>
      <c r="O29" s="27">
        <v>2581429</v>
      </c>
      <c r="P29" s="35">
        <v>0.80886618680056199</v>
      </c>
      <c r="Q29" s="28" t="s">
        <v>29</v>
      </c>
      <c r="R29" s="5">
        <v>-0.5</v>
      </c>
    </row>
    <row r="30" spans="2:26" x14ac:dyDescent="0.4">
      <c r="J30" s="1"/>
      <c r="K30" s="1"/>
      <c r="L30" s="33">
        <v>26</v>
      </c>
      <c r="M30" s="33" t="s">
        <v>157</v>
      </c>
      <c r="N30" s="34" t="s">
        <v>158</v>
      </c>
      <c r="O30" s="27">
        <v>2506348</v>
      </c>
      <c r="P30" s="35">
        <v>0.78534027066218548</v>
      </c>
      <c r="Q30" s="28" t="s">
        <v>29</v>
      </c>
      <c r="R30" s="5">
        <v>-0.5</v>
      </c>
    </row>
    <row r="31" spans="2:26" x14ac:dyDescent="0.4">
      <c r="J31" s="1"/>
      <c r="K31" s="1"/>
      <c r="L31" s="33">
        <v>27</v>
      </c>
      <c r="M31" s="33" t="s">
        <v>159</v>
      </c>
      <c r="N31" s="34" t="s">
        <v>160</v>
      </c>
      <c r="O31" s="27">
        <v>2525060</v>
      </c>
      <c r="P31" s="35">
        <v>0.79120349761416142</v>
      </c>
      <c r="Q31" s="28" t="s">
        <v>29</v>
      </c>
      <c r="R31" s="5">
        <v>-0.5</v>
      </c>
    </row>
    <row r="32" spans="2:26" x14ac:dyDescent="0.4">
      <c r="J32" s="1"/>
      <c r="K32" s="1"/>
      <c r="L32" s="33">
        <v>28</v>
      </c>
      <c r="M32" s="33" t="s">
        <v>161</v>
      </c>
      <c r="N32" s="34" t="s">
        <v>162</v>
      </c>
      <c r="O32" s="27">
        <v>2362777</v>
      </c>
      <c r="P32" s="35">
        <v>0.7403536654504429</v>
      </c>
      <c r="Q32" s="28" t="s">
        <v>29</v>
      </c>
      <c r="R32" s="5">
        <v>-0.5</v>
      </c>
    </row>
    <row r="33" spans="10:18" x14ac:dyDescent="0.4">
      <c r="J33" s="1"/>
      <c r="K33" s="1"/>
      <c r="L33" s="33">
        <v>29</v>
      </c>
      <c r="M33" s="33" t="s">
        <v>163</v>
      </c>
      <c r="N33" s="34" t="s">
        <v>164</v>
      </c>
      <c r="O33" s="27">
        <v>2304330</v>
      </c>
      <c r="P33" s="35">
        <v>0.72203985475879406</v>
      </c>
      <c r="Q33" s="28" t="s">
        <v>29</v>
      </c>
      <c r="R33" s="5">
        <v>-0.5</v>
      </c>
    </row>
    <row r="34" spans="10:18" x14ac:dyDescent="0.4">
      <c r="J34" s="1"/>
      <c r="K34" s="1"/>
      <c r="L34" s="33">
        <v>30</v>
      </c>
      <c r="M34" s="33" t="s">
        <v>165</v>
      </c>
      <c r="N34" s="34" t="s">
        <v>166</v>
      </c>
      <c r="O34" s="27">
        <v>2253542</v>
      </c>
      <c r="P34" s="35">
        <v>0.70612591875852948</v>
      </c>
      <c r="Q34" s="28" t="s">
        <v>29</v>
      </c>
      <c r="R34" s="5">
        <v>-0.5</v>
      </c>
    </row>
    <row r="35" spans="10:18" x14ac:dyDescent="0.4">
      <c r="J35" s="1"/>
      <c r="K35" s="1"/>
      <c r="L35" s="33">
        <v>31</v>
      </c>
      <c r="M35" s="33" t="s">
        <v>167</v>
      </c>
      <c r="N35" s="34" t="s">
        <v>168</v>
      </c>
      <c r="O35" s="27">
        <v>2122930</v>
      </c>
      <c r="P35" s="35">
        <v>0.66519989275107583</v>
      </c>
      <c r="Q35" s="28" t="s">
        <v>30</v>
      </c>
      <c r="R35" s="5">
        <v>-0.4</v>
      </c>
    </row>
    <row r="36" spans="10:18" x14ac:dyDescent="0.4">
      <c r="J36" s="1"/>
      <c r="K36" s="1"/>
      <c r="L36" s="33">
        <v>32</v>
      </c>
      <c r="M36" s="33" t="s">
        <v>169</v>
      </c>
      <c r="N36" s="34" t="s">
        <v>170</v>
      </c>
      <c r="O36" s="27">
        <v>2120031</v>
      </c>
      <c r="P36" s="35">
        <v>0.66429151871656444</v>
      </c>
      <c r="Q36" s="28" t="s">
        <v>30</v>
      </c>
      <c r="R36" s="5">
        <v>-0.4</v>
      </c>
    </row>
    <row r="37" spans="10:18" x14ac:dyDescent="0.4">
      <c r="J37" s="1"/>
      <c r="K37" s="1"/>
      <c r="L37" s="33">
        <v>33</v>
      </c>
      <c r="M37" s="33" t="s">
        <v>171</v>
      </c>
      <c r="N37" s="34" t="s">
        <v>172</v>
      </c>
      <c r="O37" s="27">
        <v>2067536</v>
      </c>
      <c r="P37" s="35">
        <v>0.64784271052695497</v>
      </c>
      <c r="Q37" s="28" t="s">
        <v>30</v>
      </c>
      <c r="R37" s="5">
        <v>-0.4</v>
      </c>
    </row>
    <row r="38" spans="10:18" x14ac:dyDescent="0.4">
      <c r="J38" s="1"/>
      <c r="K38" s="1"/>
      <c r="L38" s="33">
        <v>34</v>
      </c>
      <c r="M38" s="33" t="s">
        <v>173</v>
      </c>
      <c r="N38" s="34" t="s">
        <v>174</v>
      </c>
      <c r="O38" s="27">
        <v>1989741</v>
      </c>
      <c r="P38" s="35">
        <v>0.62346638834178159</v>
      </c>
      <c r="Q38" s="28" t="s">
        <v>30</v>
      </c>
      <c r="R38" s="5">
        <v>-0.4</v>
      </c>
    </row>
    <row r="39" spans="10:18" x14ac:dyDescent="0.4">
      <c r="J39" s="1"/>
      <c r="K39" s="1"/>
      <c r="L39" s="33">
        <v>35</v>
      </c>
      <c r="M39" s="33" t="s">
        <v>175</v>
      </c>
      <c r="N39" s="34" t="s">
        <v>176</v>
      </c>
      <c r="O39" s="27">
        <v>1922653</v>
      </c>
      <c r="P39" s="35">
        <v>0.60244500261314993</v>
      </c>
      <c r="Q39" s="28" t="s">
        <v>30</v>
      </c>
      <c r="R39" s="5">
        <v>-0.4</v>
      </c>
    </row>
    <row r="40" spans="10:18" x14ac:dyDescent="0.4">
      <c r="J40" s="1"/>
      <c r="K40" s="1"/>
      <c r="L40" s="33">
        <v>36</v>
      </c>
      <c r="M40" s="33" t="s">
        <v>177</v>
      </c>
      <c r="N40" s="34" t="s">
        <v>178</v>
      </c>
      <c r="O40" s="27">
        <v>2028592</v>
      </c>
      <c r="P40" s="35">
        <v>0.63563997910232106</v>
      </c>
      <c r="Q40" s="28" t="s">
        <v>30</v>
      </c>
      <c r="R40" s="5">
        <v>-0.4</v>
      </c>
    </row>
    <row r="41" spans="10:18" x14ac:dyDescent="0.4">
      <c r="J41" s="1"/>
      <c r="K41" s="1"/>
      <c r="L41" s="33">
        <v>37</v>
      </c>
      <c r="M41" s="33" t="s">
        <v>179</v>
      </c>
      <c r="N41" s="34" t="s">
        <v>180</v>
      </c>
      <c r="O41" s="27">
        <v>1893319</v>
      </c>
      <c r="P41" s="35">
        <v>0.59325347314493371</v>
      </c>
      <c r="Q41" s="28" t="s">
        <v>30</v>
      </c>
      <c r="R41" s="5">
        <v>-0.4</v>
      </c>
    </row>
    <row r="42" spans="10:18" x14ac:dyDescent="0.4">
      <c r="J42" s="1"/>
      <c r="K42" s="1"/>
      <c r="L42" s="33">
        <v>38</v>
      </c>
      <c r="M42" s="33" t="s">
        <v>181</v>
      </c>
      <c r="N42" s="34" t="s">
        <v>182</v>
      </c>
      <c r="O42" s="27">
        <v>1911309</v>
      </c>
      <c r="P42" s="35">
        <v>0.59889046827458559</v>
      </c>
      <c r="Q42" s="28" t="s">
        <v>30</v>
      </c>
      <c r="R42" s="5">
        <v>-0.4</v>
      </c>
    </row>
    <row r="43" spans="10:18" x14ac:dyDescent="0.4">
      <c r="J43" s="1"/>
      <c r="K43" s="1"/>
      <c r="L43" s="33">
        <v>39</v>
      </c>
      <c r="M43" s="33" t="s">
        <v>183</v>
      </c>
      <c r="N43" s="34" t="s">
        <v>184</v>
      </c>
      <c r="O43" s="27">
        <v>1836967</v>
      </c>
      <c r="P43" s="35">
        <v>0.57559611074659345</v>
      </c>
      <c r="Q43" s="28" t="s">
        <v>30</v>
      </c>
      <c r="R43" s="5">
        <v>-0.4</v>
      </c>
    </row>
    <row r="44" spans="10:18" x14ac:dyDescent="0.4">
      <c r="J44" s="1"/>
      <c r="K44" s="1"/>
      <c r="L44" s="33">
        <v>40</v>
      </c>
      <c r="M44" s="33" t="s">
        <v>185</v>
      </c>
      <c r="N44" s="34" t="s">
        <v>52</v>
      </c>
      <c r="O44" s="27">
        <v>1711012</v>
      </c>
      <c r="P44" s="35">
        <v>0.536129311327177</v>
      </c>
      <c r="Q44" s="28" t="s">
        <v>30</v>
      </c>
      <c r="R44" s="5">
        <v>-0.4</v>
      </c>
    </row>
    <row r="45" spans="10:18" x14ac:dyDescent="0.4">
      <c r="J45" s="1"/>
      <c r="K45" s="1"/>
      <c r="L45" s="33">
        <v>41</v>
      </c>
      <c r="M45" s="33" t="s">
        <v>186</v>
      </c>
      <c r="N45" s="34" t="s">
        <v>187</v>
      </c>
      <c r="O45" s="27">
        <v>1635134</v>
      </c>
      <c r="P45" s="35">
        <v>0.51235366283091655</v>
      </c>
      <c r="Q45" s="28" t="s">
        <v>30</v>
      </c>
      <c r="R45" s="5">
        <v>-0.4</v>
      </c>
    </row>
    <row r="46" spans="10:18" x14ac:dyDescent="0.4">
      <c r="J46" s="1"/>
      <c r="K46" s="1"/>
      <c r="L46" s="33">
        <v>42</v>
      </c>
      <c r="M46" s="33" t="s">
        <v>188</v>
      </c>
      <c r="N46" s="34" t="s">
        <v>189</v>
      </c>
      <c r="O46" s="27">
        <v>1609855</v>
      </c>
      <c r="P46" s="35">
        <v>0.50443272898530955</v>
      </c>
      <c r="Q46" s="28" t="s">
        <v>30</v>
      </c>
      <c r="R46" s="5">
        <v>-0.4</v>
      </c>
    </row>
    <row r="47" spans="10:18" x14ac:dyDescent="0.4">
      <c r="J47" s="1"/>
      <c r="K47" s="1"/>
      <c r="L47" s="33">
        <v>43</v>
      </c>
      <c r="M47" s="33" t="s">
        <v>190</v>
      </c>
      <c r="N47" s="34" t="s">
        <v>191</v>
      </c>
      <c r="O47" s="27">
        <v>1619054</v>
      </c>
      <c r="P47" s="35">
        <v>0.50731514800685862</v>
      </c>
      <c r="Q47" s="28" t="s">
        <v>30</v>
      </c>
      <c r="R47" s="5">
        <v>-0.4</v>
      </c>
    </row>
    <row r="48" spans="10:18" x14ac:dyDescent="0.4">
      <c r="J48" s="1"/>
      <c r="K48" s="1"/>
      <c r="L48" s="33">
        <v>44</v>
      </c>
      <c r="M48" s="33" t="s">
        <v>192</v>
      </c>
      <c r="N48" s="34" t="s">
        <v>193</v>
      </c>
      <c r="O48" s="27">
        <v>1654093</v>
      </c>
      <c r="P48" s="35">
        <v>0.51829428488000329</v>
      </c>
      <c r="Q48" s="28" t="s">
        <v>30</v>
      </c>
      <c r="R48" s="5">
        <v>-0.4</v>
      </c>
    </row>
    <row r="49" spans="10:18" x14ac:dyDescent="0.4">
      <c r="J49" s="1"/>
      <c r="K49" s="1"/>
      <c r="L49" s="33">
        <v>45</v>
      </c>
      <c r="M49" s="33" t="s">
        <v>194</v>
      </c>
      <c r="N49" s="34" t="s">
        <v>195</v>
      </c>
      <c r="O49" s="27">
        <v>1586081</v>
      </c>
      <c r="P49" s="35">
        <v>0.49698337255327268</v>
      </c>
      <c r="Q49" s="28" t="s">
        <v>30</v>
      </c>
      <c r="R49" s="5">
        <v>-0.4</v>
      </c>
    </row>
    <row r="50" spans="10:18" x14ac:dyDescent="0.4">
      <c r="J50" s="1"/>
      <c r="K50" s="1"/>
      <c r="L50" s="33">
        <v>46</v>
      </c>
      <c r="M50" s="33" t="s">
        <v>196</v>
      </c>
      <c r="N50" s="34" t="s">
        <v>197</v>
      </c>
      <c r="O50" s="27">
        <v>1612405</v>
      </c>
      <c r="P50" s="35">
        <v>0.5052317471943486</v>
      </c>
      <c r="Q50" s="28" t="s">
        <v>30</v>
      </c>
      <c r="R50" s="5">
        <v>-0.4</v>
      </c>
    </row>
    <row r="51" spans="10:18" x14ac:dyDescent="0.4">
      <c r="J51" s="1"/>
      <c r="K51" s="1"/>
      <c r="L51" s="33">
        <v>47</v>
      </c>
      <c r="M51" s="33" t="s">
        <v>198</v>
      </c>
      <c r="N51" s="34" t="s">
        <v>199</v>
      </c>
      <c r="O51" s="27">
        <v>1557618</v>
      </c>
      <c r="P51" s="35">
        <v>0.48806476263802634</v>
      </c>
      <c r="Q51" s="28" t="s">
        <v>30</v>
      </c>
      <c r="R51" s="5">
        <v>-0.4</v>
      </c>
    </row>
    <row r="52" spans="10:18" x14ac:dyDescent="0.4">
      <c r="J52" s="1"/>
      <c r="K52" s="1"/>
      <c r="L52" s="33">
        <v>48</v>
      </c>
      <c r="M52" s="33" t="s">
        <v>200</v>
      </c>
      <c r="N52" s="34" t="s">
        <v>201</v>
      </c>
      <c r="O52" s="27">
        <v>1535580</v>
      </c>
      <c r="P52" s="35">
        <v>0.48115936526908426</v>
      </c>
      <c r="Q52" s="28" t="s">
        <v>30</v>
      </c>
      <c r="R52" s="5">
        <v>-0.4</v>
      </c>
    </row>
    <row r="53" spans="10:18" x14ac:dyDescent="0.4">
      <c r="J53" s="1"/>
      <c r="K53" s="1"/>
      <c r="L53" s="33">
        <v>49</v>
      </c>
      <c r="M53" s="33" t="s">
        <v>202</v>
      </c>
      <c r="N53" s="34" t="s">
        <v>203</v>
      </c>
      <c r="O53" s="27">
        <v>1504639</v>
      </c>
      <c r="P53" s="35">
        <v>0.47146429765893649</v>
      </c>
      <c r="Q53" s="28" t="s">
        <v>30</v>
      </c>
      <c r="R53" s="5">
        <v>-0.4</v>
      </c>
    </row>
    <row r="54" spans="10:18" x14ac:dyDescent="0.4">
      <c r="J54" s="1"/>
      <c r="K54" s="1"/>
      <c r="L54" s="33">
        <v>50</v>
      </c>
      <c r="M54" s="33" t="s">
        <v>204</v>
      </c>
      <c r="N54" s="34" t="s">
        <v>205</v>
      </c>
      <c r="O54" s="27">
        <v>1558372</v>
      </c>
      <c r="P54" s="35">
        <v>0.48830102135552261</v>
      </c>
      <c r="Q54" s="28" t="s">
        <v>30</v>
      </c>
      <c r="R54" s="5">
        <v>-0.4</v>
      </c>
    </row>
    <row r="55" spans="10:18" x14ac:dyDescent="0.4">
      <c r="J55" s="1"/>
      <c r="K55" s="1"/>
      <c r="L55" s="33">
        <v>51</v>
      </c>
      <c r="M55" s="33" t="s">
        <v>206</v>
      </c>
      <c r="N55" s="34" t="s">
        <v>207</v>
      </c>
      <c r="O55" s="27">
        <v>1482181</v>
      </c>
      <c r="P55" s="35">
        <v>0.46442729729085858</v>
      </c>
      <c r="Q55" s="28" t="s">
        <v>30</v>
      </c>
      <c r="R55" s="5">
        <v>-0.4</v>
      </c>
    </row>
    <row r="56" spans="10:18" x14ac:dyDescent="0.4">
      <c r="J56" s="1"/>
      <c r="K56" s="1"/>
      <c r="L56" s="33">
        <v>52</v>
      </c>
      <c r="M56" s="33" t="s">
        <v>208</v>
      </c>
      <c r="N56" s="34" t="s">
        <v>209</v>
      </c>
      <c r="O56" s="27">
        <v>1403679</v>
      </c>
      <c r="P56" s="35">
        <v>0.43982944339047325</v>
      </c>
      <c r="Q56" s="28" t="s">
        <v>30</v>
      </c>
      <c r="R56" s="5">
        <v>-0.4</v>
      </c>
    </row>
    <row r="57" spans="10:18" x14ac:dyDescent="0.4">
      <c r="J57" s="1"/>
      <c r="K57" s="1"/>
      <c r="L57" s="33">
        <v>53</v>
      </c>
      <c r="M57" s="33" t="s">
        <v>210</v>
      </c>
      <c r="N57" s="34" t="s">
        <v>211</v>
      </c>
      <c r="O57" s="27">
        <v>1362131</v>
      </c>
      <c r="P57" s="35">
        <v>0.42681077337119722</v>
      </c>
      <c r="Q57" s="28" t="s">
        <v>30</v>
      </c>
      <c r="R57" s="5">
        <v>-0.4</v>
      </c>
    </row>
    <row r="58" spans="10:18" x14ac:dyDescent="0.4">
      <c r="J58" s="1"/>
      <c r="K58" s="1"/>
      <c r="L58" s="33">
        <v>54</v>
      </c>
      <c r="M58" s="33" t="s">
        <v>212</v>
      </c>
      <c r="N58" s="34" t="s">
        <v>213</v>
      </c>
      <c r="O58" s="27">
        <v>1350336</v>
      </c>
      <c r="P58" s="35">
        <v>0.423114922478799</v>
      </c>
      <c r="Q58" s="28" t="s">
        <v>30</v>
      </c>
      <c r="R58" s="5">
        <v>-0.4</v>
      </c>
    </row>
    <row r="59" spans="10:18" x14ac:dyDescent="0.4">
      <c r="J59" s="1"/>
      <c r="K59" s="1"/>
      <c r="L59" s="33">
        <v>55</v>
      </c>
      <c r="M59" s="33" t="s">
        <v>214</v>
      </c>
      <c r="N59" s="34" t="s">
        <v>215</v>
      </c>
      <c r="O59" s="27">
        <v>1343840</v>
      </c>
      <c r="P59" s="35">
        <v>0.42107946275883135</v>
      </c>
      <c r="Q59" s="28" t="s">
        <v>30</v>
      </c>
      <c r="R59" s="5">
        <v>-0.4</v>
      </c>
    </row>
    <row r="60" spans="10:18" x14ac:dyDescent="0.4">
      <c r="J60" s="1"/>
      <c r="K60" s="1"/>
      <c r="L60" s="33">
        <v>56</v>
      </c>
      <c r="M60" s="33" t="s">
        <v>216</v>
      </c>
      <c r="N60" s="34" t="s">
        <v>217</v>
      </c>
      <c r="O60" s="27">
        <v>1336652</v>
      </c>
      <c r="P60" s="35">
        <v>0.41882717143076365</v>
      </c>
      <c r="Q60" s="28" t="s">
        <v>30</v>
      </c>
      <c r="R60" s="5">
        <v>-0.4</v>
      </c>
    </row>
    <row r="61" spans="10:18" x14ac:dyDescent="0.4">
      <c r="J61" s="1"/>
      <c r="K61" s="1"/>
      <c r="L61" s="33">
        <v>57</v>
      </c>
      <c r="M61" s="33" t="s">
        <v>218</v>
      </c>
      <c r="N61" s="34" t="s">
        <v>219</v>
      </c>
      <c r="O61" s="27">
        <v>1360945</v>
      </c>
      <c r="P61" s="35">
        <v>0.42643915156887552</v>
      </c>
      <c r="Q61" s="28" t="s">
        <v>30</v>
      </c>
      <c r="R61" s="5">
        <v>-0.4</v>
      </c>
    </row>
    <row r="62" spans="10:18" x14ac:dyDescent="0.4">
      <c r="J62" s="1"/>
      <c r="K62" s="1"/>
      <c r="L62" s="33">
        <v>58</v>
      </c>
      <c r="M62" s="33" t="s">
        <v>220</v>
      </c>
      <c r="N62" s="34" t="s">
        <v>221</v>
      </c>
      <c r="O62" s="27">
        <v>1332556</v>
      </c>
      <c r="P62" s="35">
        <v>0.41754372884871505</v>
      </c>
      <c r="Q62" s="28" t="s">
        <v>30</v>
      </c>
      <c r="R62" s="5">
        <v>-0.4</v>
      </c>
    </row>
    <row r="63" spans="10:18" x14ac:dyDescent="0.4">
      <c r="J63" s="1"/>
      <c r="K63" s="1"/>
      <c r="L63" s="33">
        <v>59</v>
      </c>
      <c r="M63" s="33" t="s">
        <v>222</v>
      </c>
      <c r="N63" s="34" t="s">
        <v>223</v>
      </c>
      <c r="O63" s="27">
        <v>1255253</v>
      </c>
      <c r="P63" s="35">
        <v>0.39332157017681518</v>
      </c>
      <c r="Q63" s="28" t="s">
        <v>97</v>
      </c>
      <c r="R63" s="5">
        <v>-0.3</v>
      </c>
    </row>
    <row r="64" spans="10:18" x14ac:dyDescent="0.4">
      <c r="J64" s="1"/>
      <c r="K64" s="1"/>
      <c r="L64" s="33">
        <v>60</v>
      </c>
      <c r="M64" s="33" t="s">
        <v>224</v>
      </c>
      <c r="N64" s="34" t="s">
        <v>225</v>
      </c>
      <c r="O64" s="27">
        <v>1293591</v>
      </c>
      <c r="P64" s="35">
        <v>0.40533441727412445</v>
      </c>
      <c r="Q64" s="28" t="s">
        <v>30</v>
      </c>
      <c r="R64" s="5">
        <v>-0.4</v>
      </c>
    </row>
    <row r="65" spans="9:18" x14ac:dyDescent="0.4">
      <c r="J65" s="1"/>
      <c r="K65" s="1"/>
      <c r="L65" s="33">
        <v>61</v>
      </c>
      <c r="M65" s="33" t="s">
        <v>226</v>
      </c>
      <c r="N65" s="34" t="s">
        <v>227</v>
      </c>
      <c r="O65" s="27">
        <v>1258614</v>
      </c>
      <c r="P65" s="35">
        <v>0.39437470751037607</v>
      </c>
      <c r="Q65" s="28" t="s">
        <v>97</v>
      </c>
      <c r="R65" s="5">
        <v>-0.3</v>
      </c>
    </row>
    <row r="66" spans="9:18" x14ac:dyDescent="0.4">
      <c r="J66" s="1"/>
      <c r="K66" s="1"/>
      <c r="L66" s="33">
        <v>62</v>
      </c>
      <c r="M66" s="33" t="s">
        <v>228</v>
      </c>
      <c r="N66" s="34" t="s">
        <v>229</v>
      </c>
      <c r="O66" s="27">
        <v>1251441</v>
      </c>
      <c r="P66" s="35">
        <v>0.39212711628942037</v>
      </c>
      <c r="Q66" s="28" t="s">
        <v>97</v>
      </c>
      <c r="R66" s="5">
        <v>-0.3</v>
      </c>
    </row>
    <row r="67" spans="9:18" x14ac:dyDescent="0.4">
      <c r="J67" s="1"/>
      <c r="K67" s="1"/>
      <c r="L67" s="33">
        <v>63</v>
      </c>
      <c r="M67" s="33" t="s">
        <v>230</v>
      </c>
      <c r="N67" s="34" t="s">
        <v>43</v>
      </c>
      <c r="O67" s="27">
        <v>1224221</v>
      </c>
      <c r="P67" s="35">
        <v>0.38359798858352129</v>
      </c>
      <c r="Q67" s="28" t="s">
        <v>97</v>
      </c>
      <c r="R67" s="5">
        <v>-0.3</v>
      </c>
    </row>
    <row r="68" spans="9:18" x14ac:dyDescent="0.4">
      <c r="J68" s="1"/>
      <c r="K68" s="1"/>
      <c r="L68" s="33">
        <v>64</v>
      </c>
      <c r="M68" s="33" t="s">
        <v>231</v>
      </c>
      <c r="N68" s="34" t="s">
        <v>232</v>
      </c>
      <c r="O68" s="27">
        <v>1221823</v>
      </c>
      <c r="P68" s="35">
        <v>0.38284659812655047</v>
      </c>
      <c r="Q68" s="28" t="s">
        <v>97</v>
      </c>
      <c r="R68" s="5">
        <v>-0.3</v>
      </c>
    </row>
    <row r="69" spans="9:18" x14ac:dyDescent="0.4">
      <c r="I69" s="22"/>
      <c r="J69" s="1"/>
      <c r="K69" s="1"/>
      <c r="L69" s="33">
        <v>65</v>
      </c>
      <c r="M69" s="33" t="s">
        <v>233</v>
      </c>
      <c r="N69" s="34" t="s">
        <v>234</v>
      </c>
      <c r="O69" s="27">
        <v>1221463</v>
      </c>
      <c r="P69" s="35">
        <v>0.38273379555586262</v>
      </c>
      <c r="Q69" s="28" t="s">
        <v>97</v>
      </c>
      <c r="R69" s="5">
        <v>-0.3</v>
      </c>
    </row>
    <row r="70" spans="9:18" x14ac:dyDescent="0.4">
      <c r="L70" s="33">
        <v>66</v>
      </c>
      <c r="M70" s="33" t="s">
        <v>235</v>
      </c>
      <c r="N70" s="34" t="s">
        <v>236</v>
      </c>
      <c r="O70" s="27">
        <v>1191313</v>
      </c>
      <c r="P70" s="35">
        <v>0.37328658026075401</v>
      </c>
      <c r="Q70" s="28" t="s">
        <v>97</v>
      </c>
      <c r="R70" s="5">
        <v>-0.3</v>
      </c>
    </row>
    <row r="71" spans="9:18" x14ac:dyDescent="0.4">
      <c r="L71" s="33">
        <v>67</v>
      </c>
      <c r="M71" s="33" t="s">
        <v>237</v>
      </c>
      <c r="N71" s="34" t="s">
        <v>238</v>
      </c>
      <c r="O71" s="27">
        <v>1219917</v>
      </c>
      <c r="P71" s="35">
        <v>0.38224937118285307</v>
      </c>
      <c r="Q71" s="28" t="s">
        <v>97</v>
      </c>
      <c r="R71" s="5">
        <v>-0.3</v>
      </c>
    </row>
    <row r="72" spans="9:18" x14ac:dyDescent="0.4">
      <c r="L72" s="33">
        <v>68</v>
      </c>
      <c r="M72" s="33" t="s">
        <v>239</v>
      </c>
      <c r="N72" s="34" t="s">
        <v>240</v>
      </c>
      <c r="O72" s="27">
        <v>1149803</v>
      </c>
      <c r="P72" s="35">
        <v>0.36027981717949498</v>
      </c>
      <c r="Q72" s="28" t="s">
        <v>97</v>
      </c>
      <c r="R72" s="5">
        <v>-0.3</v>
      </c>
    </row>
    <row r="73" spans="9:18" x14ac:dyDescent="0.4">
      <c r="L73" s="33">
        <v>69</v>
      </c>
      <c r="M73" s="33" t="s">
        <v>241</v>
      </c>
      <c r="N73" s="34" t="s">
        <v>242</v>
      </c>
      <c r="O73" s="27">
        <v>1200699</v>
      </c>
      <c r="P73" s="35">
        <v>0.37622759395096589</v>
      </c>
      <c r="Q73" s="28" t="s">
        <v>97</v>
      </c>
      <c r="R73" s="5">
        <v>-0.3</v>
      </c>
    </row>
    <row r="74" spans="9:18" x14ac:dyDescent="0.4">
      <c r="L74" s="33">
        <v>70</v>
      </c>
      <c r="M74" s="33" t="s">
        <v>243</v>
      </c>
      <c r="N74" s="34" t="s">
        <v>244</v>
      </c>
      <c r="O74" s="27">
        <v>1163875</v>
      </c>
      <c r="P74" s="35">
        <v>0.36468914433149396</v>
      </c>
      <c r="Q74" s="28" t="s">
        <v>97</v>
      </c>
      <c r="R74" s="5">
        <v>-0.3</v>
      </c>
    </row>
    <row r="75" spans="9:18" x14ac:dyDescent="0.4">
      <c r="L75" s="33">
        <v>71</v>
      </c>
      <c r="M75" s="33" t="s">
        <v>245</v>
      </c>
      <c r="N75" s="34" t="s">
        <v>246</v>
      </c>
      <c r="O75" s="27">
        <v>1072804</v>
      </c>
      <c r="P75" s="35">
        <v>0.33615291401173153</v>
      </c>
      <c r="Q75" s="28" t="s">
        <v>97</v>
      </c>
      <c r="R75" s="5">
        <v>-0.3</v>
      </c>
    </row>
    <row r="76" spans="9:18" x14ac:dyDescent="0.4">
      <c r="L76" s="33">
        <v>72</v>
      </c>
      <c r="M76" s="33" t="s">
        <v>247</v>
      </c>
      <c r="N76" s="34" t="s">
        <v>248</v>
      </c>
      <c r="O76" s="27">
        <v>1063878</v>
      </c>
      <c r="P76" s="35">
        <v>0.33335603693962074</v>
      </c>
      <c r="Q76" s="28" t="s">
        <v>97</v>
      </c>
      <c r="R76" s="5">
        <v>-0.3</v>
      </c>
    </row>
    <row r="77" spans="9:18" x14ac:dyDescent="0.4">
      <c r="L77" s="33">
        <v>73</v>
      </c>
      <c r="M77" s="33" t="s">
        <v>249</v>
      </c>
      <c r="N77" s="34" t="s">
        <v>49</v>
      </c>
      <c r="O77" s="27">
        <v>1062967</v>
      </c>
      <c r="P77" s="35">
        <v>0.33307058376768561</v>
      </c>
      <c r="Q77" s="28" t="s">
        <v>97</v>
      </c>
      <c r="R77" s="5">
        <v>-0.3</v>
      </c>
    </row>
    <row r="78" spans="9:18" x14ac:dyDescent="0.4">
      <c r="L78" s="33">
        <v>74</v>
      </c>
      <c r="M78" s="33" t="s">
        <v>250</v>
      </c>
      <c r="N78" s="34" t="s">
        <v>251</v>
      </c>
      <c r="O78" s="27">
        <v>1033459</v>
      </c>
      <c r="P78" s="35">
        <v>0.3238245330569704</v>
      </c>
      <c r="Q78" s="28" t="s">
        <v>97</v>
      </c>
      <c r="R78" s="5">
        <v>-0.3</v>
      </c>
    </row>
    <row r="79" spans="9:18" x14ac:dyDescent="0.4">
      <c r="L79" s="33">
        <v>75</v>
      </c>
      <c r="M79" s="33" t="s">
        <v>252</v>
      </c>
      <c r="N79" s="34" t="s">
        <v>253</v>
      </c>
      <c r="O79" s="27">
        <v>1036483</v>
      </c>
      <c r="P79" s="35">
        <v>0.32477207465074842</v>
      </c>
      <c r="Q79" s="28" t="s">
        <v>97</v>
      </c>
      <c r="R79" s="5">
        <v>-0.3</v>
      </c>
    </row>
    <row r="80" spans="9:18" x14ac:dyDescent="0.4">
      <c r="L80" s="33">
        <v>76</v>
      </c>
      <c r="M80" s="33" t="s">
        <v>254</v>
      </c>
      <c r="N80" s="34" t="s">
        <v>255</v>
      </c>
      <c r="O80" s="27">
        <v>1020660</v>
      </c>
      <c r="P80" s="35">
        <v>0.31981408832854269</v>
      </c>
      <c r="Q80" s="28" t="s">
        <v>97</v>
      </c>
      <c r="R80" s="5">
        <v>-0.3</v>
      </c>
    </row>
    <row r="81" spans="12:18" x14ac:dyDescent="0.4">
      <c r="L81" s="33">
        <v>77</v>
      </c>
      <c r="M81" s="33" t="s">
        <v>256</v>
      </c>
      <c r="N81" s="34" t="s">
        <v>257</v>
      </c>
      <c r="O81" s="27">
        <v>972432</v>
      </c>
      <c r="P81" s="35">
        <v>0.30470230394205849</v>
      </c>
      <c r="Q81" s="28" t="s">
        <v>97</v>
      </c>
      <c r="R81" s="5">
        <v>-0.3</v>
      </c>
    </row>
    <row r="82" spans="12:18" x14ac:dyDescent="0.4">
      <c r="L82" s="33">
        <v>78</v>
      </c>
      <c r="M82" s="33" t="s">
        <v>258</v>
      </c>
      <c r="N82" s="34" t="s">
        <v>259</v>
      </c>
      <c r="O82" s="27">
        <v>959026</v>
      </c>
      <c r="P82" s="35">
        <v>0.30050166154583208</v>
      </c>
      <c r="Q82" s="28" t="s">
        <v>97</v>
      </c>
      <c r="R82" s="5">
        <v>-0.3</v>
      </c>
    </row>
    <row r="83" spans="12:18" x14ac:dyDescent="0.4">
      <c r="L83" s="33">
        <v>79</v>
      </c>
      <c r="M83" s="33" t="s">
        <v>260</v>
      </c>
      <c r="N83" s="34" t="s">
        <v>261</v>
      </c>
      <c r="O83" s="27">
        <v>996786</v>
      </c>
      <c r="P83" s="35">
        <v>0.31233339784909248</v>
      </c>
      <c r="Q83" s="28" t="s">
        <v>97</v>
      </c>
      <c r="R83" s="5">
        <v>-0.3</v>
      </c>
    </row>
    <row r="84" spans="12:18" x14ac:dyDescent="0.4">
      <c r="L84" s="33">
        <v>80</v>
      </c>
      <c r="M84" s="33" t="s">
        <v>262</v>
      </c>
      <c r="N84" s="34" t="s">
        <v>263</v>
      </c>
      <c r="O84" s="27">
        <v>920725</v>
      </c>
      <c r="P84" s="35">
        <v>0.28850040804606575</v>
      </c>
      <c r="Q84" s="28" t="s">
        <v>97</v>
      </c>
      <c r="R84" s="5">
        <v>-0.3</v>
      </c>
    </row>
    <row r="85" spans="12:18" x14ac:dyDescent="0.4">
      <c r="L85" s="33">
        <v>81</v>
      </c>
      <c r="M85" s="33" t="s">
        <v>264</v>
      </c>
      <c r="N85" s="34" t="s">
        <v>265</v>
      </c>
      <c r="O85" s="27">
        <v>911556</v>
      </c>
      <c r="P85" s="35">
        <v>0.28562738923874065</v>
      </c>
      <c r="Q85" s="28" t="s">
        <v>97</v>
      </c>
      <c r="R85" s="5">
        <v>-0.3</v>
      </c>
    </row>
    <row r="86" spans="12:18" x14ac:dyDescent="0.4">
      <c r="L86" s="33">
        <v>82</v>
      </c>
      <c r="M86" s="33" t="s">
        <v>266</v>
      </c>
      <c r="N86" s="34" t="s">
        <v>267</v>
      </c>
      <c r="O86" s="27">
        <v>897360</v>
      </c>
      <c r="P86" s="35">
        <v>0.2811792078679492</v>
      </c>
      <c r="Q86" s="28" t="s">
        <v>97</v>
      </c>
      <c r="R86" s="5">
        <v>-0.3</v>
      </c>
    </row>
    <row r="87" spans="12:18" x14ac:dyDescent="0.4">
      <c r="L87" s="33">
        <v>83</v>
      </c>
      <c r="M87" s="33" t="s">
        <v>268</v>
      </c>
      <c r="N87" s="34" t="s">
        <v>269</v>
      </c>
      <c r="O87" s="27">
        <v>881947</v>
      </c>
      <c r="P87" s="35">
        <v>0.27634969114013797</v>
      </c>
      <c r="Q87" s="28" t="s">
        <v>97</v>
      </c>
      <c r="R87" s="5">
        <v>-0.3</v>
      </c>
    </row>
    <row r="88" spans="12:18" x14ac:dyDescent="0.4">
      <c r="L88" s="33">
        <v>84</v>
      </c>
      <c r="M88" s="33" t="s">
        <v>270</v>
      </c>
      <c r="N88" s="34" t="s">
        <v>271</v>
      </c>
      <c r="O88" s="27">
        <v>845597</v>
      </c>
      <c r="P88" s="35">
        <v>0.26495976490540502</v>
      </c>
      <c r="Q88" s="28" t="s">
        <v>97</v>
      </c>
      <c r="R88" s="5">
        <v>-0.3</v>
      </c>
    </row>
    <row r="89" spans="12:18" x14ac:dyDescent="0.4">
      <c r="L89" s="33">
        <v>85</v>
      </c>
      <c r="M89" s="33" t="s">
        <v>272</v>
      </c>
      <c r="N89" s="34" t="s">
        <v>273</v>
      </c>
      <c r="O89" s="27">
        <v>850229</v>
      </c>
      <c r="P89" s="35">
        <v>0.26641115798158888</v>
      </c>
      <c r="Q89" s="28" t="s">
        <v>97</v>
      </c>
      <c r="R89" s="5">
        <v>-0.3</v>
      </c>
    </row>
    <row r="90" spans="12:18" x14ac:dyDescent="0.4">
      <c r="L90" s="33">
        <v>86</v>
      </c>
      <c r="M90" s="33" t="s">
        <v>274</v>
      </c>
      <c r="N90" s="34" t="s">
        <v>275</v>
      </c>
      <c r="O90" s="27">
        <v>844771</v>
      </c>
      <c r="P90" s="35">
        <v>0.26470094567377123</v>
      </c>
      <c r="Q90" s="28" t="s">
        <v>97</v>
      </c>
      <c r="R90" s="5">
        <v>-0.3</v>
      </c>
    </row>
    <row r="91" spans="12:18" x14ac:dyDescent="0.4">
      <c r="L91" s="33">
        <v>87</v>
      </c>
      <c r="M91" s="33" t="s">
        <v>276</v>
      </c>
      <c r="N91" s="34" t="s">
        <v>277</v>
      </c>
      <c r="O91" s="27">
        <v>841780</v>
      </c>
      <c r="P91" s="35">
        <v>0.26376374431563954</v>
      </c>
      <c r="Q91" s="28" t="s">
        <v>97</v>
      </c>
      <c r="R91" s="5">
        <v>-0.3</v>
      </c>
    </row>
    <row r="92" spans="12:18" x14ac:dyDescent="0.4">
      <c r="L92" s="33">
        <v>88</v>
      </c>
      <c r="M92" s="33" t="s">
        <v>278</v>
      </c>
      <c r="N92" s="34" t="s">
        <v>279</v>
      </c>
      <c r="O92" s="27">
        <v>813192</v>
      </c>
      <c r="P92" s="35">
        <v>0.25480596684112661</v>
      </c>
      <c r="Q92" s="28" t="s">
        <v>97</v>
      </c>
      <c r="R92" s="5">
        <v>-0.3</v>
      </c>
    </row>
    <row r="93" spans="12:18" x14ac:dyDescent="0.4">
      <c r="L93" s="33">
        <v>89</v>
      </c>
      <c r="M93" s="33" t="s">
        <v>280</v>
      </c>
      <c r="N93" s="34" t="s">
        <v>281</v>
      </c>
      <c r="O93" s="27">
        <v>827474</v>
      </c>
      <c r="P93" s="35">
        <v>0.25928109549269346</v>
      </c>
      <c r="Q93" s="28" t="s">
        <v>97</v>
      </c>
      <c r="R93" s="5">
        <v>-0.3</v>
      </c>
    </row>
    <row r="94" spans="12:18" x14ac:dyDescent="0.4">
      <c r="L94" s="33">
        <v>90</v>
      </c>
      <c r="M94" s="33" t="s">
        <v>282</v>
      </c>
      <c r="N94" s="34" t="s">
        <v>283</v>
      </c>
      <c r="O94" s="27">
        <v>789864</v>
      </c>
      <c r="P94" s="35">
        <v>0.24749636026055299</v>
      </c>
      <c r="Q94" s="28" t="s">
        <v>97</v>
      </c>
      <c r="R94" s="5">
        <v>-0.3</v>
      </c>
    </row>
    <row r="95" spans="12:18" x14ac:dyDescent="0.4">
      <c r="L95" s="33">
        <v>91</v>
      </c>
      <c r="M95" s="33" t="s">
        <v>284</v>
      </c>
      <c r="N95" s="34" t="s">
        <v>285</v>
      </c>
      <c r="O95" s="27">
        <v>778085</v>
      </c>
      <c r="P95" s="35">
        <v>0.24380552281574092</v>
      </c>
      <c r="Q95" s="28" t="s">
        <v>97</v>
      </c>
      <c r="R95" s="5">
        <v>-0.3</v>
      </c>
    </row>
    <row r="96" spans="12:18" x14ac:dyDescent="0.4">
      <c r="L96" s="33">
        <v>92</v>
      </c>
      <c r="M96" s="33" t="s">
        <v>286</v>
      </c>
      <c r="N96" s="34" t="s">
        <v>287</v>
      </c>
      <c r="O96" s="27">
        <v>774388</v>
      </c>
      <c r="P96" s="35">
        <v>0.24264710308287138</v>
      </c>
      <c r="Q96" s="28" t="s">
        <v>97</v>
      </c>
      <c r="R96" s="5">
        <v>-0.3</v>
      </c>
    </row>
    <row r="97" spans="12:18" x14ac:dyDescent="0.4">
      <c r="L97" s="33">
        <v>93</v>
      </c>
      <c r="M97" s="33" t="s">
        <v>288</v>
      </c>
      <c r="N97" s="34" t="s">
        <v>289</v>
      </c>
      <c r="O97" s="27">
        <v>781816</v>
      </c>
      <c r="P97" s="35">
        <v>0.24497459612473099</v>
      </c>
      <c r="Q97" s="28" t="s">
        <v>97</v>
      </c>
      <c r="R97" s="5">
        <v>-0.3</v>
      </c>
    </row>
    <row r="98" spans="12:18" x14ac:dyDescent="0.4">
      <c r="L98" s="33">
        <v>94</v>
      </c>
      <c r="M98" s="33" t="s">
        <v>290</v>
      </c>
      <c r="N98" s="34" t="s">
        <v>291</v>
      </c>
      <c r="O98" s="27">
        <v>854203</v>
      </c>
      <c r="P98" s="35">
        <v>0.26765637302579326</v>
      </c>
      <c r="Q98" s="28" t="s">
        <v>97</v>
      </c>
      <c r="R98" s="5">
        <v>-0.3</v>
      </c>
    </row>
    <row r="99" spans="12:18" x14ac:dyDescent="0.4">
      <c r="L99" s="33">
        <v>95</v>
      </c>
      <c r="M99" s="33" t="s">
        <v>292</v>
      </c>
      <c r="N99" s="34" t="s">
        <v>293</v>
      </c>
      <c r="O99" s="27">
        <v>760369</v>
      </c>
      <c r="P99" s="35">
        <v>0.23825438297600149</v>
      </c>
      <c r="Q99" s="28" t="s">
        <v>97</v>
      </c>
      <c r="R99" s="5">
        <v>-0.3</v>
      </c>
    </row>
    <row r="100" spans="12:18" x14ac:dyDescent="0.4">
      <c r="L100" s="33">
        <v>96</v>
      </c>
      <c r="M100" s="33" t="s">
        <v>294</v>
      </c>
      <c r="N100" s="34" t="s">
        <v>295</v>
      </c>
      <c r="O100" s="27">
        <v>782381</v>
      </c>
      <c r="P100" s="35">
        <v>0.24515163349261609</v>
      </c>
      <c r="Q100" s="28" t="s">
        <v>97</v>
      </c>
      <c r="R100" s="5">
        <v>-0.3</v>
      </c>
    </row>
    <row r="101" spans="12:18" x14ac:dyDescent="0.4">
      <c r="L101" s="33">
        <v>97</v>
      </c>
      <c r="M101" s="33" t="s">
        <v>296</v>
      </c>
      <c r="N101" s="34" t="s">
        <v>297</v>
      </c>
      <c r="O101" s="27">
        <v>739365</v>
      </c>
      <c r="P101" s="35">
        <v>0.23167297965731287</v>
      </c>
      <c r="Q101" s="28" t="s">
        <v>97</v>
      </c>
      <c r="R101" s="5">
        <v>-0.3</v>
      </c>
    </row>
    <row r="102" spans="12:18" x14ac:dyDescent="0.4">
      <c r="L102" s="33">
        <v>98</v>
      </c>
      <c r="M102" s="33" t="s">
        <v>298</v>
      </c>
      <c r="N102" s="34" t="s">
        <v>299</v>
      </c>
      <c r="O102" s="27">
        <v>731434</v>
      </c>
      <c r="P102" s="35">
        <v>0.22918787635696439</v>
      </c>
      <c r="Q102" s="28" t="s">
        <v>97</v>
      </c>
      <c r="R102" s="5">
        <v>-0.3</v>
      </c>
    </row>
    <row r="103" spans="12:18" x14ac:dyDescent="0.4">
      <c r="L103" s="33">
        <v>99</v>
      </c>
      <c r="M103" s="33" t="s">
        <v>300</v>
      </c>
      <c r="N103" s="34" t="s">
        <v>301</v>
      </c>
      <c r="O103" s="27">
        <v>698663</v>
      </c>
      <c r="P103" s="35">
        <v>0.21891939567915331</v>
      </c>
      <c r="Q103" s="28" t="s">
        <v>97</v>
      </c>
      <c r="R103" s="5">
        <v>-0.3</v>
      </c>
    </row>
    <row r="104" spans="12:18" x14ac:dyDescent="0.4">
      <c r="L104" s="33">
        <v>100</v>
      </c>
      <c r="M104" s="33" t="s">
        <v>302</v>
      </c>
      <c r="N104" s="34" t="s">
        <v>303</v>
      </c>
      <c r="O104" s="27">
        <v>696231</v>
      </c>
      <c r="P104" s="35">
        <v>0.21815735164606195</v>
      </c>
      <c r="Q104" s="28" t="s">
        <v>97</v>
      </c>
      <c r="R104" s="5">
        <v>-0.3</v>
      </c>
    </row>
    <row r="105" spans="12:18" x14ac:dyDescent="0.4">
      <c r="L105" s="33">
        <v>101</v>
      </c>
      <c r="M105" s="33" t="s">
        <v>304</v>
      </c>
      <c r="N105" s="34" t="s">
        <v>305</v>
      </c>
      <c r="O105" s="27">
        <v>771019</v>
      </c>
      <c r="P105" s="35">
        <v>0.24159145902551746</v>
      </c>
      <c r="Q105" s="28" t="s">
        <v>97</v>
      </c>
      <c r="R105" s="5">
        <v>-0.3</v>
      </c>
    </row>
    <row r="106" spans="12:18" x14ac:dyDescent="0.4">
      <c r="L106" s="33">
        <v>102</v>
      </c>
      <c r="M106" s="33" t="s">
        <v>306</v>
      </c>
      <c r="N106" s="34" t="s">
        <v>307</v>
      </c>
      <c r="O106" s="27">
        <v>679101</v>
      </c>
      <c r="P106" s="35">
        <v>0.21278982932416443</v>
      </c>
      <c r="Q106" s="28" t="s">
        <v>97</v>
      </c>
      <c r="R106" s="5">
        <v>-0.3</v>
      </c>
    </row>
    <row r="107" spans="12:18" x14ac:dyDescent="0.4">
      <c r="L107" s="33">
        <v>103</v>
      </c>
      <c r="M107" s="33" t="s">
        <v>308</v>
      </c>
      <c r="N107" s="34" t="s">
        <v>309</v>
      </c>
      <c r="O107" s="27">
        <v>691924</v>
      </c>
      <c r="P107" s="35">
        <v>0.21680779422397131</v>
      </c>
      <c r="Q107" s="28" t="s">
        <v>97</v>
      </c>
      <c r="R107" s="5">
        <v>-0.3</v>
      </c>
    </row>
    <row r="108" spans="12:18" x14ac:dyDescent="0.4">
      <c r="L108" s="33">
        <v>104</v>
      </c>
      <c r="M108" s="33" t="s">
        <v>310</v>
      </c>
      <c r="N108" s="34" t="s">
        <v>311</v>
      </c>
      <c r="O108" s="27">
        <v>674978</v>
      </c>
      <c r="P108" s="35">
        <v>0.21149792654931424</v>
      </c>
      <c r="Q108" s="28" t="s">
        <v>97</v>
      </c>
      <c r="R108" s="5">
        <v>-0.3</v>
      </c>
    </row>
    <row r="109" spans="12:18" x14ac:dyDescent="0.4">
      <c r="L109" s="33">
        <v>105</v>
      </c>
      <c r="M109" s="33" t="s">
        <v>312</v>
      </c>
      <c r="N109" s="34" t="s">
        <v>313</v>
      </c>
      <c r="O109" s="27">
        <v>644301</v>
      </c>
      <c r="P109" s="35">
        <v>0.20188558082433755</v>
      </c>
      <c r="Q109" s="28" t="s">
        <v>97</v>
      </c>
      <c r="R109" s="5">
        <v>-0.3</v>
      </c>
    </row>
    <row r="110" spans="12:18" x14ac:dyDescent="0.4">
      <c r="L110" s="33">
        <v>106</v>
      </c>
      <c r="M110" s="33" t="s">
        <v>314</v>
      </c>
      <c r="N110" s="34" t="s">
        <v>315</v>
      </c>
      <c r="O110" s="27">
        <v>644434</v>
      </c>
      <c r="P110" s="35">
        <v>0.20192725510739726</v>
      </c>
      <c r="Q110" s="28" t="s">
        <v>97</v>
      </c>
      <c r="R110" s="5">
        <v>-0.3</v>
      </c>
    </row>
    <row r="111" spans="12:18" x14ac:dyDescent="0.4">
      <c r="L111" s="33">
        <v>107</v>
      </c>
      <c r="M111" s="33" t="s">
        <v>316</v>
      </c>
      <c r="N111" s="34" t="s">
        <v>317</v>
      </c>
      <c r="O111" s="27">
        <v>644750</v>
      </c>
      <c r="P111" s="35">
        <v>0.20202627069722326</v>
      </c>
      <c r="Q111" s="28" t="s">
        <v>97</v>
      </c>
      <c r="R111" s="5">
        <v>-0.3</v>
      </c>
    </row>
    <row r="112" spans="12:18" x14ac:dyDescent="0.4">
      <c r="L112" s="33">
        <v>108</v>
      </c>
      <c r="M112" s="33" t="s">
        <v>318</v>
      </c>
      <c r="N112" s="34" t="s">
        <v>319</v>
      </c>
      <c r="O112" s="27">
        <v>627262</v>
      </c>
      <c r="P112" s="35">
        <v>0.19654657248558613</v>
      </c>
      <c r="Q112" s="28" t="s">
        <v>97</v>
      </c>
      <c r="R112" s="5">
        <v>-0.3</v>
      </c>
    </row>
    <row r="113" spans="12:18" x14ac:dyDescent="0.4">
      <c r="L113" s="33">
        <v>109</v>
      </c>
      <c r="M113" s="33" t="s">
        <v>320</v>
      </c>
      <c r="N113" s="34" t="s">
        <v>321</v>
      </c>
      <c r="O113" s="27">
        <v>621225</v>
      </c>
      <c r="P113" s="35">
        <v>0.19465493604324546</v>
      </c>
      <c r="Q113" s="28" t="s">
        <v>97</v>
      </c>
      <c r="R113" s="5">
        <v>-0.3</v>
      </c>
    </row>
    <row r="114" spans="12:18" x14ac:dyDescent="0.4">
      <c r="L114" s="33">
        <v>110</v>
      </c>
      <c r="M114" s="33" t="s">
        <v>322</v>
      </c>
      <c r="N114" s="34" t="s">
        <v>323</v>
      </c>
      <c r="O114" s="27">
        <v>612690</v>
      </c>
      <c r="P114" s="35">
        <v>0.19198057509652069</v>
      </c>
      <c r="Q114" s="28" t="s">
        <v>97</v>
      </c>
      <c r="R114" s="5">
        <v>-0.3</v>
      </c>
    </row>
    <row r="115" spans="12:18" x14ac:dyDescent="0.4">
      <c r="L115" s="33">
        <v>111</v>
      </c>
      <c r="M115" s="33" t="s">
        <v>324</v>
      </c>
      <c r="N115" s="34" t="s">
        <v>325</v>
      </c>
      <c r="O115" s="27">
        <v>612517</v>
      </c>
      <c r="P115" s="35">
        <v>0.19192636719449568</v>
      </c>
      <c r="Q115" s="28" t="s">
        <v>97</v>
      </c>
      <c r="R115" s="5">
        <v>-0.3</v>
      </c>
    </row>
    <row r="116" spans="12:18" x14ac:dyDescent="0.4">
      <c r="L116" s="33">
        <v>112</v>
      </c>
      <c r="M116" s="33" t="s">
        <v>326</v>
      </c>
      <c r="N116" s="34" t="s">
        <v>327</v>
      </c>
      <c r="O116" s="27">
        <v>614263</v>
      </c>
      <c r="P116" s="35">
        <v>0.19247345966233184</v>
      </c>
      <c r="Q116" s="28" t="s">
        <v>97</v>
      </c>
      <c r="R116" s="5">
        <v>-0.3</v>
      </c>
    </row>
    <row r="117" spans="12:18" x14ac:dyDescent="0.4">
      <c r="L117" s="33">
        <v>113</v>
      </c>
      <c r="M117" s="33" t="s">
        <v>328</v>
      </c>
      <c r="N117" s="34" t="s">
        <v>329</v>
      </c>
      <c r="O117" s="27">
        <v>587646</v>
      </c>
      <c r="P117" s="35">
        <v>0.18413327626233494</v>
      </c>
      <c r="Q117" s="28" t="s">
        <v>97</v>
      </c>
      <c r="R117" s="5">
        <v>-0.3</v>
      </c>
    </row>
    <row r="118" spans="12:18" x14ac:dyDescent="0.4">
      <c r="L118" s="33">
        <v>114</v>
      </c>
      <c r="M118" s="33" t="s">
        <v>330</v>
      </c>
      <c r="N118" s="34" t="s">
        <v>331</v>
      </c>
      <c r="O118" s="27">
        <v>587590</v>
      </c>
      <c r="P118" s="35">
        <v>0.18411572919578351</v>
      </c>
      <c r="Q118" s="28" t="s">
        <v>97</v>
      </c>
      <c r="R118" s="5">
        <v>-0.3</v>
      </c>
    </row>
    <row r="119" spans="12:18" x14ac:dyDescent="0.4">
      <c r="L119" s="33">
        <v>115</v>
      </c>
      <c r="M119" s="33" t="s">
        <v>332</v>
      </c>
      <c r="N119" s="34" t="s">
        <v>333</v>
      </c>
      <c r="O119" s="27">
        <v>597383</v>
      </c>
      <c r="P119" s="35">
        <v>0.18718427245896754</v>
      </c>
      <c r="Q119" s="28" t="s">
        <v>97</v>
      </c>
      <c r="R119" s="5">
        <v>-0.3</v>
      </c>
    </row>
    <row r="120" spans="12:18" x14ac:dyDescent="0.4">
      <c r="L120" s="33">
        <v>116</v>
      </c>
      <c r="M120" s="33" t="s">
        <v>334</v>
      </c>
      <c r="N120" s="34" t="s">
        <v>335</v>
      </c>
      <c r="O120" s="27">
        <v>575338</v>
      </c>
      <c r="P120" s="35">
        <v>0.18027668170670652</v>
      </c>
      <c r="Q120" s="28" t="s">
        <v>97</v>
      </c>
      <c r="R120" s="5">
        <v>-0.3</v>
      </c>
    </row>
    <row r="121" spans="12:18" x14ac:dyDescent="0.4">
      <c r="L121" s="33">
        <v>117</v>
      </c>
      <c r="M121" s="33" t="s">
        <v>336</v>
      </c>
      <c r="N121" s="34" t="s">
        <v>337</v>
      </c>
      <c r="O121" s="27">
        <v>693384</v>
      </c>
      <c r="P121" s="35">
        <v>0.21726527131620543</v>
      </c>
      <c r="Q121" s="28" t="s">
        <v>97</v>
      </c>
      <c r="R121" s="5">
        <v>-0.3</v>
      </c>
    </row>
    <row r="122" spans="12:18" x14ac:dyDescent="0.4">
      <c r="L122" s="33">
        <v>118</v>
      </c>
      <c r="M122" s="33" t="s">
        <v>338</v>
      </c>
      <c r="N122" s="34" t="s">
        <v>339</v>
      </c>
      <c r="O122" s="27">
        <v>589873</v>
      </c>
      <c r="P122" s="35">
        <v>0.18483108549822905</v>
      </c>
      <c r="Q122" s="28" t="s">
        <v>97</v>
      </c>
      <c r="R122" s="5">
        <v>-0.3</v>
      </c>
    </row>
    <row r="123" spans="12:18" x14ac:dyDescent="0.4">
      <c r="L123" s="33">
        <v>119</v>
      </c>
      <c r="M123" s="33" t="s">
        <v>340</v>
      </c>
      <c r="N123" s="34" t="s">
        <v>341</v>
      </c>
      <c r="O123" s="27">
        <v>581807</v>
      </c>
      <c r="P123" s="35">
        <v>0.18230368123387261</v>
      </c>
      <c r="Q123" s="28" t="s">
        <v>97</v>
      </c>
      <c r="R123" s="5">
        <v>-0.3</v>
      </c>
    </row>
    <row r="124" spans="12:18" x14ac:dyDescent="0.4">
      <c r="L124" s="33">
        <v>120</v>
      </c>
      <c r="M124" s="33" t="s">
        <v>342</v>
      </c>
      <c r="N124" s="34" t="s">
        <v>343</v>
      </c>
      <c r="O124" s="27">
        <v>563540</v>
      </c>
      <c r="P124" s="35">
        <v>0.17657989079288591</v>
      </c>
      <c r="Q124" s="28" t="s">
        <v>97</v>
      </c>
      <c r="R124" s="5">
        <v>-0.3</v>
      </c>
    </row>
    <row r="125" spans="12:18" x14ac:dyDescent="0.4">
      <c r="L125" s="33">
        <v>121</v>
      </c>
      <c r="M125" s="33" t="s">
        <v>344</v>
      </c>
      <c r="N125" s="34" t="s">
        <v>345</v>
      </c>
      <c r="O125" s="27">
        <v>554792</v>
      </c>
      <c r="P125" s="35">
        <v>0.17383878832517083</v>
      </c>
      <c r="Q125" s="28" t="s">
        <v>97</v>
      </c>
      <c r="R125" s="5">
        <v>-0.3</v>
      </c>
    </row>
    <row r="126" spans="12:18" x14ac:dyDescent="0.4">
      <c r="L126" s="33">
        <v>122</v>
      </c>
      <c r="M126" s="33" t="s">
        <v>346</v>
      </c>
      <c r="N126" s="34" t="s">
        <v>347</v>
      </c>
      <c r="O126" s="27">
        <v>559678</v>
      </c>
      <c r="P126" s="35">
        <v>0.17536976988178443</v>
      </c>
      <c r="Q126" s="28" t="s">
        <v>97</v>
      </c>
      <c r="R126" s="5">
        <v>-0.3</v>
      </c>
    </row>
    <row r="127" spans="12:18" x14ac:dyDescent="0.4">
      <c r="L127" s="33">
        <v>123</v>
      </c>
      <c r="M127" s="33" t="s">
        <v>348</v>
      </c>
      <c r="N127" s="34" t="s">
        <v>349</v>
      </c>
      <c r="O127" s="27">
        <v>557376</v>
      </c>
      <c r="P127" s="35">
        <v>0.17464846011033039</v>
      </c>
      <c r="Q127" s="28" t="s">
        <v>97</v>
      </c>
      <c r="R127" s="5">
        <v>-0.3</v>
      </c>
    </row>
    <row r="128" spans="12:18" x14ac:dyDescent="0.4">
      <c r="L128" s="33">
        <v>124</v>
      </c>
      <c r="M128" s="33" t="s">
        <v>350</v>
      </c>
      <c r="N128" s="34" t="s">
        <v>351</v>
      </c>
      <c r="O128" s="27">
        <v>538146</v>
      </c>
      <c r="P128" s="35">
        <v>0.16862292279275365</v>
      </c>
      <c r="Q128" s="28" t="s">
        <v>97</v>
      </c>
      <c r="R128" s="5">
        <v>-0.3</v>
      </c>
    </row>
    <row r="129" spans="12:18" x14ac:dyDescent="0.4">
      <c r="L129" s="33">
        <v>125</v>
      </c>
      <c r="M129" s="33" t="s">
        <v>352</v>
      </c>
      <c r="N129" s="34" t="s">
        <v>353</v>
      </c>
      <c r="O129" s="27">
        <v>536631</v>
      </c>
      <c r="P129" s="35">
        <v>0.16814821197444221</v>
      </c>
      <c r="Q129" s="28" t="s">
        <v>97</v>
      </c>
      <c r="R129" s="5">
        <v>-0.3</v>
      </c>
    </row>
    <row r="130" spans="12:18" x14ac:dyDescent="0.4">
      <c r="L130" s="33">
        <v>126</v>
      </c>
      <c r="M130" s="33" t="s">
        <v>354</v>
      </c>
      <c r="N130" s="34" t="s">
        <v>355</v>
      </c>
      <c r="O130" s="27">
        <v>527265</v>
      </c>
      <c r="P130" s="35">
        <v>0.16521346509371296</v>
      </c>
      <c r="Q130" s="28" t="s">
        <v>97</v>
      </c>
      <c r="R130" s="5">
        <v>-0.3</v>
      </c>
    </row>
    <row r="131" spans="12:18" x14ac:dyDescent="0.4">
      <c r="L131" s="33">
        <v>127</v>
      </c>
      <c r="M131" s="33" t="s">
        <v>356</v>
      </c>
      <c r="N131" s="34" t="s">
        <v>357</v>
      </c>
      <c r="O131" s="27">
        <v>524898</v>
      </c>
      <c r="P131" s="35">
        <v>0.16447178819144023</v>
      </c>
      <c r="Q131" s="28" t="s">
        <v>97</v>
      </c>
      <c r="R131" s="5">
        <v>-0.3</v>
      </c>
    </row>
    <row r="132" spans="12:18" x14ac:dyDescent="0.4">
      <c r="L132" s="33">
        <v>128</v>
      </c>
      <c r="M132" s="33" t="s">
        <v>358</v>
      </c>
      <c r="N132" s="34" t="s">
        <v>359</v>
      </c>
      <c r="O132" s="27">
        <v>524242</v>
      </c>
      <c r="P132" s="35">
        <v>0.16426623684040903</v>
      </c>
      <c r="Q132" s="28" t="s">
        <v>97</v>
      </c>
      <c r="R132" s="5">
        <v>-0.3</v>
      </c>
    </row>
    <row r="133" spans="12:18" x14ac:dyDescent="0.4">
      <c r="L133" s="33">
        <v>129</v>
      </c>
      <c r="M133" s="33" t="s">
        <v>360</v>
      </c>
      <c r="N133" s="34" t="s">
        <v>361</v>
      </c>
      <c r="O133" s="27">
        <v>523294</v>
      </c>
      <c r="P133" s="35">
        <v>0.16396919007093097</v>
      </c>
      <c r="Q133" s="28" t="s">
        <v>97</v>
      </c>
      <c r="R133" s="5">
        <v>-0.3</v>
      </c>
    </row>
    <row r="134" spans="12:18" x14ac:dyDescent="0.4">
      <c r="L134" s="33">
        <v>130</v>
      </c>
      <c r="M134" s="33" t="s">
        <v>362</v>
      </c>
      <c r="N134" s="34" t="s">
        <v>363</v>
      </c>
      <c r="O134" s="27">
        <v>524502</v>
      </c>
      <c r="P134" s="35">
        <v>0.16434770536368359</v>
      </c>
      <c r="Q134" s="28" t="s">
        <v>97</v>
      </c>
      <c r="R134" s="5">
        <v>-0.3</v>
      </c>
    </row>
    <row r="135" spans="12:18" x14ac:dyDescent="0.4">
      <c r="L135" s="33">
        <v>131</v>
      </c>
      <c r="M135" s="33" t="s">
        <v>364</v>
      </c>
      <c r="N135" s="34" t="s">
        <v>365</v>
      </c>
      <c r="O135" s="27">
        <v>507413</v>
      </c>
      <c r="P135" s="35">
        <v>0.1589930300012255</v>
      </c>
      <c r="Q135" s="28" t="s">
        <v>97</v>
      </c>
      <c r="R135" s="5">
        <v>-0.3</v>
      </c>
    </row>
    <row r="136" spans="12:18" x14ac:dyDescent="0.4">
      <c r="L136" s="33">
        <v>132</v>
      </c>
      <c r="M136" s="33" t="s">
        <v>366</v>
      </c>
      <c r="N136" s="34" t="s">
        <v>367</v>
      </c>
      <c r="O136" s="27">
        <v>533975</v>
      </c>
      <c r="P136" s="35">
        <v>0.16731597967514508</v>
      </c>
      <c r="Q136" s="28" t="s">
        <v>97</v>
      </c>
      <c r="R136" s="5">
        <v>-0.3</v>
      </c>
    </row>
    <row r="137" spans="12:18" x14ac:dyDescent="0.4">
      <c r="L137" s="33">
        <v>133</v>
      </c>
      <c r="M137" s="33" t="s">
        <v>368</v>
      </c>
      <c r="N137" s="34" t="s">
        <v>369</v>
      </c>
      <c r="O137" s="27">
        <v>524537</v>
      </c>
      <c r="P137" s="35">
        <v>0.16435867228027823</v>
      </c>
      <c r="Q137" s="28" t="s">
        <v>97</v>
      </c>
      <c r="R137" s="5">
        <v>-0.3</v>
      </c>
    </row>
    <row r="138" spans="12:18" x14ac:dyDescent="0.4">
      <c r="L138" s="33">
        <v>134</v>
      </c>
      <c r="M138" s="33" t="s">
        <v>370</v>
      </c>
      <c r="N138" s="34" t="s">
        <v>47</v>
      </c>
      <c r="O138" s="27">
        <v>494368</v>
      </c>
      <c r="P138" s="35">
        <v>0.15490550351616109</v>
      </c>
      <c r="Q138" s="28" t="s">
        <v>97</v>
      </c>
      <c r="R138" s="5">
        <v>-0.3</v>
      </c>
    </row>
    <row r="139" spans="12:18" x14ac:dyDescent="0.4">
      <c r="L139" s="33">
        <v>135</v>
      </c>
      <c r="M139" s="33" t="s">
        <v>371</v>
      </c>
      <c r="N139" s="34" t="s">
        <v>372</v>
      </c>
      <c r="O139" s="27">
        <v>489835</v>
      </c>
      <c r="P139" s="35">
        <v>0.15348513114691642</v>
      </c>
      <c r="Q139" s="28" t="s">
        <v>97</v>
      </c>
      <c r="R139" s="5">
        <v>-0.3</v>
      </c>
    </row>
    <row r="140" spans="12:18" x14ac:dyDescent="0.4">
      <c r="L140" s="33">
        <v>136</v>
      </c>
      <c r="M140" s="33" t="s">
        <v>373</v>
      </c>
      <c r="N140" s="34" t="s">
        <v>374</v>
      </c>
      <c r="O140" s="27">
        <v>482296</v>
      </c>
      <c r="P140" s="35">
        <v>0.15112285731242805</v>
      </c>
      <c r="Q140" s="28" t="s">
        <v>97</v>
      </c>
      <c r="R140" s="5">
        <v>-0.3</v>
      </c>
    </row>
    <row r="141" spans="12:18" x14ac:dyDescent="0.4">
      <c r="L141" s="33">
        <v>137</v>
      </c>
      <c r="M141" s="33" t="s">
        <v>375</v>
      </c>
      <c r="N141" s="34" t="s">
        <v>376</v>
      </c>
      <c r="O141" s="27">
        <v>506866</v>
      </c>
      <c r="P141" s="35">
        <v>0.15882163276187478</v>
      </c>
      <c r="Q141" s="28" t="s">
        <v>97</v>
      </c>
      <c r="R141" s="5">
        <v>-0.3</v>
      </c>
    </row>
    <row r="142" spans="12:18" x14ac:dyDescent="0.4">
      <c r="L142" s="33">
        <v>138</v>
      </c>
      <c r="M142" s="33" t="s">
        <v>377</v>
      </c>
      <c r="N142" s="34" t="s">
        <v>378</v>
      </c>
      <c r="O142" s="27">
        <v>477224</v>
      </c>
      <c r="P142" s="35">
        <v>0.1495335944276257</v>
      </c>
      <c r="Q142" s="28" t="s">
        <v>97</v>
      </c>
      <c r="R142" s="5">
        <v>-0.3</v>
      </c>
    </row>
    <row r="143" spans="12:18" x14ac:dyDescent="0.4">
      <c r="L143" s="33">
        <v>139</v>
      </c>
      <c r="M143" s="33" t="s">
        <v>379</v>
      </c>
      <c r="N143" s="34" t="s">
        <v>380</v>
      </c>
      <c r="O143" s="27">
        <v>632913</v>
      </c>
      <c r="P143" s="35">
        <v>0.19831725950491147</v>
      </c>
      <c r="Q143" s="28" t="s">
        <v>97</v>
      </c>
      <c r="R143" s="5">
        <v>-0.3</v>
      </c>
    </row>
    <row r="144" spans="12:18" x14ac:dyDescent="0.4">
      <c r="L144" s="33">
        <v>140</v>
      </c>
      <c r="M144" s="33" t="s">
        <v>381</v>
      </c>
      <c r="N144" s="34" t="s">
        <v>382</v>
      </c>
      <c r="O144" s="27">
        <v>490785</v>
      </c>
      <c r="P144" s="35">
        <v>0.15378280459734273</v>
      </c>
      <c r="Q144" s="28" t="s">
        <v>97</v>
      </c>
      <c r="R144" s="5">
        <v>-0.3</v>
      </c>
    </row>
    <row r="145" spans="12:18" x14ac:dyDescent="0.4">
      <c r="L145" s="33">
        <v>141</v>
      </c>
      <c r="M145" s="33" t="s">
        <v>383</v>
      </c>
      <c r="N145" s="34" t="s">
        <v>384</v>
      </c>
      <c r="O145" s="27">
        <v>464470</v>
      </c>
      <c r="P145" s="35">
        <v>0.145537250020534</v>
      </c>
      <c r="Q145" s="28" t="s">
        <v>97</v>
      </c>
      <c r="R145" s="5">
        <v>-0.3</v>
      </c>
    </row>
    <row r="146" spans="12:18" x14ac:dyDescent="0.4">
      <c r="L146" s="33">
        <v>142</v>
      </c>
      <c r="M146" s="33" t="s">
        <v>385</v>
      </c>
      <c r="N146" s="34" t="s">
        <v>386</v>
      </c>
      <c r="O146" s="27">
        <v>466359</v>
      </c>
      <c r="P146" s="35">
        <v>0.14612915017617115</v>
      </c>
      <c r="Q146" s="28" t="s">
        <v>97</v>
      </c>
      <c r="R146" s="5">
        <v>-0.3</v>
      </c>
    </row>
    <row r="147" spans="12:18" x14ac:dyDescent="0.4">
      <c r="L147" s="33">
        <v>143</v>
      </c>
      <c r="M147" s="33" t="s">
        <v>387</v>
      </c>
      <c r="N147" s="34" t="s">
        <v>388</v>
      </c>
      <c r="O147" s="27">
        <v>449974</v>
      </c>
      <c r="P147" s="35">
        <v>0.14099506650750265</v>
      </c>
      <c r="Q147" s="28" t="s">
        <v>97</v>
      </c>
      <c r="R147" s="5">
        <v>-0.3</v>
      </c>
    </row>
    <row r="148" spans="12:18" x14ac:dyDescent="0.4">
      <c r="L148" s="33">
        <v>144</v>
      </c>
      <c r="M148" s="33" t="s">
        <v>389</v>
      </c>
      <c r="N148" s="34" t="s">
        <v>390</v>
      </c>
      <c r="O148" s="27">
        <v>466074</v>
      </c>
      <c r="P148" s="35">
        <v>0.14603984814104323</v>
      </c>
      <c r="Q148" s="28" t="s">
        <v>97</v>
      </c>
      <c r="R148" s="5">
        <v>-0.3</v>
      </c>
    </row>
    <row r="149" spans="12:18" x14ac:dyDescent="0.4">
      <c r="L149" s="33">
        <v>145</v>
      </c>
      <c r="M149" s="33" t="s">
        <v>391</v>
      </c>
      <c r="N149" s="34" t="s">
        <v>392</v>
      </c>
      <c r="O149" s="27">
        <v>445368</v>
      </c>
      <c r="P149" s="35">
        <v>0.13955182028364627</v>
      </c>
      <c r="Q149" s="28" t="s">
        <v>97</v>
      </c>
      <c r="R149" s="5">
        <v>-0.3</v>
      </c>
    </row>
    <row r="150" spans="12:18" x14ac:dyDescent="0.4">
      <c r="L150" s="33">
        <v>146</v>
      </c>
      <c r="M150" s="33" t="s">
        <v>393</v>
      </c>
      <c r="N150" s="34" t="s">
        <v>394</v>
      </c>
      <c r="O150" s="27">
        <v>448906</v>
      </c>
      <c r="P150" s="35">
        <v>0.14066041888112865</v>
      </c>
      <c r="Q150" s="28" t="s">
        <v>97</v>
      </c>
      <c r="R150" s="5">
        <v>-0.3</v>
      </c>
    </row>
    <row r="151" spans="12:18" x14ac:dyDescent="0.4">
      <c r="L151" s="33">
        <v>147</v>
      </c>
      <c r="M151" s="33" t="s">
        <v>395</v>
      </c>
      <c r="N151" s="34" t="s">
        <v>396</v>
      </c>
      <c r="O151" s="27">
        <v>442486</v>
      </c>
      <c r="P151" s="35">
        <v>0.13864877303719508</v>
      </c>
      <c r="Q151" s="28" t="s">
        <v>97</v>
      </c>
      <c r="R151" s="5">
        <v>-0.3</v>
      </c>
    </row>
    <row r="152" spans="12:18" x14ac:dyDescent="0.4">
      <c r="L152" s="33">
        <v>148</v>
      </c>
      <c r="M152" s="33" t="s">
        <v>397</v>
      </c>
      <c r="N152" s="34" t="s">
        <v>398</v>
      </c>
      <c r="O152" s="27">
        <v>452761</v>
      </c>
      <c r="P152" s="35">
        <v>0.14186834640891122</v>
      </c>
      <c r="Q152" s="28" t="s">
        <v>97</v>
      </c>
      <c r="R152" s="5">
        <v>-0.3</v>
      </c>
    </row>
    <row r="153" spans="12:18" x14ac:dyDescent="0.4">
      <c r="L153" s="33">
        <v>149</v>
      </c>
      <c r="M153" s="33" t="s">
        <v>399</v>
      </c>
      <c r="N153" s="34" t="s">
        <v>400</v>
      </c>
      <c r="O153" s="27">
        <v>433440</v>
      </c>
      <c r="P153" s="35">
        <v>0.13581429510818838</v>
      </c>
      <c r="Q153" s="28" t="s">
        <v>97</v>
      </c>
      <c r="R153" s="5">
        <v>-0.3</v>
      </c>
    </row>
    <row r="154" spans="12:18" x14ac:dyDescent="0.4">
      <c r="L154" s="33">
        <v>150</v>
      </c>
      <c r="M154" s="33" t="s">
        <v>401</v>
      </c>
      <c r="N154" s="34" t="s">
        <v>402</v>
      </c>
      <c r="O154" s="27">
        <v>439826</v>
      </c>
      <c r="P154" s="35">
        <v>0.13781528737600143</v>
      </c>
      <c r="Q154" s="28" t="s">
        <v>97</v>
      </c>
      <c r="R154" s="5">
        <v>-0.3</v>
      </c>
    </row>
    <row r="155" spans="12:18" x14ac:dyDescent="0.4">
      <c r="L155" s="33">
        <v>151</v>
      </c>
      <c r="M155" s="33" t="s">
        <v>403</v>
      </c>
      <c r="N155" s="34" t="s">
        <v>404</v>
      </c>
      <c r="O155" s="27">
        <v>482476</v>
      </c>
      <c r="P155" s="35">
        <v>0.15117925859777198</v>
      </c>
      <c r="Q155" s="28" t="s">
        <v>97</v>
      </c>
      <c r="R155" s="5">
        <v>-0.3</v>
      </c>
    </row>
    <row r="156" spans="12:18" x14ac:dyDescent="0.4">
      <c r="L156" s="33">
        <v>152</v>
      </c>
      <c r="M156" s="33" t="s">
        <v>405</v>
      </c>
      <c r="N156" s="34" t="s">
        <v>406</v>
      </c>
      <c r="O156" s="27">
        <v>421172</v>
      </c>
      <c r="P156" s="35">
        <v>0.13197023417152526</v>
      </c>
      <c r="Q156" s="28" t="s">
        <v>97</v>
      </c>
      <c r="R156" s="5">
        <v>-0.3</v>
      </c>
    </row>
    <row r="157" spans="12:18" x14ac:dyDescent="0.4">
      <c r="L157" s="33">
        <v>153</v>
      </c>
      <c r="M157" s="33" t="s">
        <v>407</v>
      </c>
      <c r="N157" s="34" t="s">
        <v>408</v>
      </c>
      <c r="O157" s="27">
        <v>415155</v>
      </c>
      <c r="P157" s="35">
        <v>0.13008486453866727</v>
      </c>
      <c r="Q157" s="28" t="s">
        <v>97</v>
      </c>
      <c r="R157" s="5">
        <v>-0.3</v>
      </c>
    </row>
    <row r="158" spans="12:18" x14ac:dyDescent="0.4">
      <c r="L158" s="33">
        <v>154</v>
      </c>
      <c r="M158" s="33" t="s">
        <v>409</v>
      </c>
      <c r="N158" s="34" t="s">
        <v>410</v>
      </c>
      <c r="O158" s="27">
        <v>454474</v>
      </c>
      <c r="P158" s="35">
        <v>0.14240509864110096</v>
      </c>
      <c r="Q158" s="28" t="s">
        <v>97</v>
      </c>
      <c r="R158" s="5">
        <v>-0.3</v>
      </c>
    </row>
    <row r="159" spans="12:18" x14ac:dyDescent="0.4">
      <c r="L159" s="33">
        <v>155</v>
      </c>
      <c r="M159" s="33" t="s">
        <v>411</v>
      </c>
      <c r="N159" s="34" t="s">
        <v>412</v>
      </c>
      <c r="O159" s="27">
        <v>412112</v>
      </c>
      <c r="P159" s="35">
        <v>0.12913136947588069</v>
      </c>
      <c r="Q159" s="28" t="s">
        <v>97</v>
      </c>
      <c r="R159" s="5">
        <v>-0.3</v>
      </c>
    </row>
    <row r="160" spans="12:18" x14ac:dyDescent="0.4">
      <c r="L160" s="33">
        <v>156</v>
      </c>
      <c r="M160" s="33" t="s">
        <v>413</v>
      </c>
      <c r="N160" s="34" t="s">
        <v>414</v>
      </c>
      <c r="O160" s="27">
        <v>419066</v>
      </c>
      <c r="P160" s="35">
        <v>0.13131033913300125</v>
      </c>
      <c r="Q160" s="28" t="s">
        <v>97</v>
      </c>
      <c r="R160" s="5">
        <v>-0.3</v>
      </c>
    </row>
    <row r="161" spans="12:18" x14ac:dyDescent="0.4">
      <c r="L161" s="33">
        <v>157</v>
      </c>
      <c r="M161" s="33" t="s">
        <v>415</v>
      </c>
      <c r="N161" s="34" t="s">
        <v>416</v>
      </c>
      <c r="O161" s="27">
        <v>412122</v>
      </c>
      <c r="P161" s="35">
        <v>0.129134502880622</v>
      </c>
      <c r="Q161" s="28" t="s">
        <v>97</v>
      </c>
      <c r="R161" s="5">
        <v>-0.3</v>
      </c>
    </row>
    <row r="162" spans="12:18" x14ac:dyDescent="0.4">
      <c r="L162" s="33">
        <v>158</v>
      </c>
      <c r="M162" s="33" t="s">
        <v>417</v>
      </c>
      <c r="N162" s="34" t="s">
        <v>418</v>
      </c>
      <c r="O162" s="27">
        <v>413270</v>
      </c>
      <c r="P162" s="35">
        <v>0.12949421774492664</v>
      </c>
      <c r="Q162" s="28" t="s">
        <v>97</v>
      </c>
      <c r="R162" s="5">
        <v>-0.3</v>
      </c>
    </row>
    <row r="163" spans="12:18" x14ac:dyDescent="0.4">
      <c r="L163" s="33">
        <v>159</v>
      </c>
      <c r="M163" s="33" t="s">
        <v>419</v>
      </c>
      <c r="N163" s="34" t="s">
        <v>420</v>
      </c>
      <c r="O163" s="27">
        <v>410600</v>
      </c>
      <c r="P163" s="35">
        <v>0.12865759867899165</v>
      </c>
      <c r="Q163" s="28" t="s">
        <v>97</v>
      </c>
      <c r="R163" s="5">
        <v>-0.3</v>
      </c>
    </row>
    <row r="164" spans="12:18" x14ac:dyDescent="0.4">
      <c r="L164" s="33">
        <v>160</v>
      </c>
      <c r="M164" s="33" t="s">
        <v>421</v>
      </c>
      <c r="N164" s="34" t="s">
        <v>422</v>
      </c>
      <c r="O164" s="27">
        <v>472036</v>
      </c>
      <c r="P164" s="35">
        <v>0.14790798404782393</v>
      </c>
      <c r="Q164" s="28" t="s">
        <v>97</v>
      </c>
      <c r="R164" s="5">
        <v>-0.3</v>
      </c>
    </row>
    <row r="165" spans="12:18" x14ac:dyDescent="0.4">
      <c r="L165" s="33">
        <v>161</v>
      </c>
      <c r="M165" s="33" t="s">
        <v>423</v>
      </c>
      <c r="N165" s="34" t="s">
        <v>424</v>
      </c>
      <c r="O165" s="27">
        <v>401186</v>
      </c>
      <c r="P165" s="35">
        <v>0.125707811455504</v>
      </c>
      <c r="Q165" s="28" t="s">
        <v>97</v>
      </c>
      <c r="R165" s="5">
        <v>-0.3</v>
      </c>
    </row>
    <row r="166" spans="12:18" x14ac:dyDescent="0.4">
      <c r="L166" s="33">
        <v>162</v>
      </c>
      <c r="M166" s="33" t="s">
        <v>425</v>
      </c>
      <c r="N166" s="34" t="s">
        <v>426</v>
      </c>
      <c r="O166" s="27">
        <v>397931</v>
      </c>
      <c r="P166" s="35">
        <v>0.12468788821220124</v>
      </c>
      <c r="Q166" s="28" t="s">
        <v>97</v>
      </c>
      <c r="R166" s="5">
        <v>-0.3</v>
      </c>
    </row>
    <row r="167" spans="12:18" x14ac:dyDescent="0.4">
      <c r="L167" s="33">
        <v>163</v>
      </c>
      <c r="M167" s="33" t="s">
        <v>427</v>
      </c>
      <c r="N167" s="34" t="s">
        <v>428</v>
      </c>
      <c r="O167" s="27">
        <v>403751</v>
      </c>
      <c r="P167" s="35">
        <v>0.12651152977165503</v>
      </c>
      <c r="Q167" s="28" t="s">
        <v>97</v>
      </c>
      <c r="R167" s="5">
        <v>-0.3</v>
      </c>
    </row>
    <row r="168" spans="12:18" x14ac:dyDescent="0.4">
      <c r="L168" s="33">
        <v>164</v>
      </c>
      <c r="M168" s="33" t="s">
        <v>429</v>
      </c>
      <c r="N168" s="34" t="s">
        <v>430</v>
      </c>
      <c r="O168" s="27">
        <v>390665</v>
      </c>
      <c r="P168" s="35">
        <v>0.12241115632715117</v>
      </c>
      <c r="Q168" s="28" t="s">
        <v>97</v>
      </c>
      <c r="R168" s="5">
        <v>-0.3</v>
      </c>
    </row>
    <row r="169" spans="12:18" x14ac:dyDescent="0.4">
      <c r="L169" s="33">
        <v>165</v>
      </c>
      <c r="M169" s="33" t="s">
        <v>431</v>
      </c>
      <c r="N169" s="34" t="s">
        <v>432</v>
      </c>
      <c r="O169" s="27">
        <v>391516</v>
      </c>
      <c r="P169" s="35">
        <v>0.12267780907063833</v>
      </c>
      <c r="Q169" s="28" t="s">
        <v>97</v>
      </c>
      <c r="R169" s="5">
        <v>-0.3</v>
      </c>
    </row>
    <row r="170" spans="12:18" x14ac:dyDescent="0.4">
      <c r="L170" s="33">
        <v>166</v>
      </c>
      <c r="M170" s="33" t="s">
        <v>433</v>
      </c>
      <c r="N170" s="34" t="s">
        <v>434</v>
      </c>
      <c r="O170" s="27">
        <v>384766</v>
      </c>
      <c r="P170" s="35">
        <v>0.12056276087024087</v>
      </c>
      <c r="Q170" s="28" t="s">
        <v>97</v>
      </c>
      <c r="R170" s="5">
        <v>-0.3</v>
      </c>
    </row>
    <row r="171" spans="12:18" x14ac:dyDescent="0.4">
      <c r="L171" s="33">
        <v>167</v>
      </c>
      <c r="M171" s="33" t="s">
        <v>435</v>
      </c>
      <c r="N171" s="34" t="s">
        <v>436</v>
      </c>
      <c r="O171" s="27">
        <v>380161</v>
      </c>
      <c r="P171" s="35">
        <v>0.11911982798685862</v>
      </c>
      <c r="Q171" s="28" t="s">
        <v>97</v>
      </c>
      <c r="R171" s="5">
        <v>-0.3</v>
      </c>
    </row>
    <row r="172" spans="12:18" x14ac:dyDescent="0.4">
      <c r="L172" s="33">
        <v>168</v>
      </c>
      <c r="M172" s="33" t="s">
        <v>437</v>
      </c>
      <c r="N172" s="34" t="s">
        <v>438</v>
      </c>
      <c r="O172" s="27">
        <v>372448</v>
      </c>
      <c r="P172" s="35">
        <v>0.11670303290987112</v>
      </c>
      <c r="Q172" s="28" t="s">
        <v>97</v>
      </c>
      <c r="R172" s="5">
        <v>-0.3</v>
      </c>
    </row>
    <row r="173" spans="12:18" x14ac:dyDescent="0.4">
      <c r="L173" s="33">
        <v>169</v>
      </c>
      <c r="M173" s="33" t="s">
        <v>439</v>
      </c>
      <c r="N173" s="34" t="s">
        <v>440</v>
      </c>
      <c r="O173" s="27">
        <v>371913</v>
      </c>
      <c r="P173" s="35">
        <v>0.11653539575621</v>
      </c>
      <c r="Q173" s="28" t="s">
        <v>97</v>
      </c>
      <c r="R173" s="5">
        <v>-0.3</v>
      </c>
    </row>
    <row r="174" spans="12:18" x14ac:dyDescent="0.4">
      <c r="L174" s="33">
        <v>170</v>
      </c>
      <c r="M174" s="33" t="s">
        <v>441</v>
      </c>
      <c r="N174" s="34" t="s">
        <v>442</v>
      </c>
      <c r="O174" s="27">
        <v>416212</v>
      </c>
      <c r="P174" s="35">
        <v>0.13041606541982581</v>
      </c>
      <c r="Q174" s="28" t="s">
        <v>97</v>
      </c>
      <c r="R174" s="5">
        <v>-0.3</v>
      </c>
    </row>
    <row r="175" spans="12:18" x14ac:dyDescent="0.4">
      <c r="L175" s="33">
        <v>171</v>
      </c>
      <c r="M175" s="33" t="s">
        <v>443</v>
      </c>
      <c r="N175" s="34" t="s">
        <v>444</v>
      </c>
      <c r="O175" s="27">
        <v>356773</v>
      </c>
      <c r="P175" s="35">
        <v>0.11179142097783704</v>
      </c>
      <c r="Q175" s="28" t="s">
        <v>97</v>
      </c>
      <c r="R175" s="5">
        <v>-0.3</v>
      </c>
    </row>
    <row r="176" spans="12:18" x14ac:dyDescent="0.4">
      <c r="L176" s="33">
        <v>172</v>
      </c>
      <c r="M176" s="33" t="s">
        <v>445</v>
      </c>
      <c r="N176" s="34" t="s">
        <v>446</v>
      </c>
      <c r="O176" s="27">
        <v>359310</v>
      </c>
      <c r="P176" s="35">
        <v>0.11258636576071235</v>
      </c>
      <c r="Q176" s="28" t="s">
        <v>97</v>
      </c>
      <c r="R176" s="5">
        <v>-0.3</v>
      </c>
    </row>
    <row r="177" spans="12:18" x14ac:dyDescent="0.4">
      <c r="L177" s="33">
        <v>173</v>
      </c>
      <c r="M177" s="33" t="s">
        <v>447</v>
      </c>
      <c r="N177" s="34" t="s">
        <v>448</v>
      </c>
      <c r="O177" s="27">
        <v>352399</v>
      </c>
      <c r="P177" s="35">
        <v>0.11042086974397949</v>
      </c>
      <c r="Q177" s="28" t="s">
        <v>97</v>
      </c>
      <c r="R177" s="5">
        <v>-0.3</v>
      </c>
    </row>
    <row r="178" spans="12:18" x14ac:dyDescent="0.4">
      <c r="L178" s="33">
        <v>174</v>
      </c>
      <c r="M178" s="33" t="s">
        <v>449</v>
      </c>
      <c r="N178" s="34" t="s">
        <v>450</v>
      </c>
      <c r="O178" s="27">
        <v>338810</v>
      </c>
      <c r="P178" s="35">
        <v>0.10616288604098675</v>
      </c>
      <c r="Q178" s="28" t="s">
        <v>97</v>
      </c>
      <c r="R178" s="5">
        <v>-0.3</v>
      </c>
    </row>
    <row r="179" spans="12:18" x14ac:dyDescent="0.4">
      <c r="L179" s="33">
        <v>175</v>
      </c>
      <c r="M179" s="33" t="s">
        <v>451</v>
      </c>
      <c r="N179" s="34" t="s">
        <v>452</v>
      </c>
      <c r="O179" s="27">
        <v>338942</v>
      </c>
      <c r="P179" s="35">
        <v>0.10620424698357231</v>
      </c>
      <c r="Q179" s="28" t="s">
        <v>97</v>
      </c>
      <c r="R179" s="5">
        <v>-0.3</v>
      </c>
    </row>
    <row r="180" spans="12:18" x14ac:dyDescent="0.4">
      <c r="L180" s="33">
        <v>176</v>
      </c>
      <c r="M180" s="33" t="s">
        <v>453</v>
      </c>
      <c r="N180" s="34" t="s">
        <v>454</v>
      </c>
      <c r="O180" s="27">
        <v>335073</v>
      </c>
      <c r="P180" s="35">
        <v>0.1049919326891519</v>
      </c>
      <c r="Q180" s="28" t="s">
        <v>97</v>
      </c>
      <c r="R180" s="5">
        <v>-0.3</v>
      </c>
    </row>
    <row r="181" spans="12:18" x14ac:dyDescent="0.4">
      <c r="L181" s="33">
        <v>177</v>
      </c>
      <c r="M181" s="33" t="s">
        <v>455</v>
      </c>
      <c r="N181" s="34" t="s">
        <v>456</v>
      </c>
      <c r="O181" s="27">
        <v>327600</v>
      </c>
      <c r="P181" s="35">
        <v>0.10265033932595632</v>
      </c>
      <c r="Q181" s="28" t="s">
        <v>97</v>
      </c>
      <c r="R181" s="5">
        <v>-0.3</v>
      </c>
    </row>
    <row r="182" spans="12:18" x14ac:dyDescent="0.4">
      <c r="L182" s="33">
        <v>178</v>
      </c>
      <c r="M182" s="33" t="s">
        <v>457</v>
      </c>
      <c r="N182" s="34" t="s">
        <v>458</v>
      </c>
      <c r="O182" s="27">
        <v>333361</v>
      </c>
      <c r="P182" s="35">
        <v>0.10445549379743628</v>
      </c>
      <c r="Q182" s="28" t="s">
        <v>97</v>
      </c>
      <c r="R182" s="5">
        <v>-0.3</v>
      </c>
    </row>
    <row r="183" spans="12:18" x14ac:dyDescent="0.4">
      <c r="L183" s="33">
        <v>179</v>
      </c>
      <c r="M183" s="33" t="s">
        <v>459</v>
      </c>
      <c r="N183" s="34" t="s">
        <v>460</v>
      </c>
      <c r="O183" s="27">
        <v>329769</v>
      </c>
      <c r="P183" s="35">
        <v>0.1033299748143507</v>
      </c>
      <c r="Q183" s="28" t="s">
        <v>97</v>
      </c>
      <c r="R183" s="5">
        <v>-0.3</v>
      </c>
    </row>
    <row r="184" spans="12:18" x14ac:dyDescent="0.4">
      <c r="L184" s="33">
        <v>180</v>
      </c>
      <c r="M184" s="33" t="s">
        <v>461</v>
      </c>
      <c r="N184" s="34" t="s">
        <v>462</v>
      </c>
      <c r="O184" s="27">
        <v>329364</v>
      </c>
      <c r="P184" s="35">
        <v>0.10320307192232686</v>
      </c>
      <c r="Q184" s="28" t="s">
        <v>97</v>
      </c>
      <c r="R184" s="5">
        <v>-0.3</v>
      </c>
    </row>
    <row r="185" spans="12:18" x14ac:dyDescent="0.4">
      <c r="L185" s="33">
        <v>181</v>
      </c>
      <c r="M185" s="33" t="s">
        <v>463</v>
      </c>
      <c r="N185" s="34" t="s">
        <v>464</v>
      </c>
      <c r="O185" s="27">
        <v>346919</v>
      </c>
      <c r="P185" s="35">
        <v>0.10870376394573089</v>
      </c>
      <c r="Q185" s="28" t="s">
        <v>97</v>
      </c>
      <c r="R185" s="5">
        <v>-0.3</v>
      </c>
    </row>
    <row r="186" spans="12:18" x14ac:dyDescent="0.4">
      <c r="L186" s="33">
        <v>182</v>
      </c>
      <c r="M186" s="33" t="s">
        <v>465</v>
      </c>
      <c r="N186" s="34" t="s">
        <v>466</v>
      </c>
      <c r="O186" s="27">
        <v>324635</v>
      </c>
      <c r="P186" s="35">
        <v>0.10172128482015211</v>
      </c>
      <c r="Q186" s="28" t="s">
        <v>97</v>
      </c>
      <c r="R186" s="5">
        <v>-0.3</v>
      </c>
    </row>
    <row r="187" spans="12:18" x14ac:dyDescent="0.4">
      <c r="L187" s="33">
        <v>183</v>
      </c>
      <c r="M187" s="33" t="s">
        <v>467</v>
      </c>
      <c r="N187" s="34" t="s">
        <v>468</v>
      </c>
      <c r="O187" s="27">
        <v>325883</v>
      </c>
      <c r="P187" s="35">
        <v>0.10211233373187004</v>
      </c>
      <c r="Q187" s="28" t="s">
        <v>97</v>
      </c>
      <c r="R187" s="5">
        <v>-0.3</v>
      </c>
    </row>
    <row r="188" spans="12:18" x14ac:dyDescent="0.4">
      <c r="L188" s="33">
        <v>184</v>
      </c>
      <c r="M188" s="33" t="s">
        <v>469</v>
      </c>
      <c r="N188" s="34" t="s">
        <v>470</v>
      </c>
      <c r="O188" s="27">
        <v>308166</v>
      </c>
      <c r="P188" s="35">
        <v>9.6560880551656458E-2</v>
      </c>
      <c r="Q188" s="28" t="s">
        <v>100</v>
      </c>
      <c r="R188" s="5">
        <v>-0.2</v>
      </c>
    </row>
    <row r="189" spans="12:18" x14ac:dyDescent="0.4">
      <c r="L189" s="33">
        <v>185</v>
      </c>
      <c r="M189" s="33" t="s">
        <v>471</v>
      </c>
      <c r="N189" s="34" t="s">
        <v>472</v>
      </c>
      <c r="O189" s="27">
        <v>307018</v>
      </c>
      <c r="P189" s="35">
        <v>9.6201165687351833E-2</v>
      </c>
      <c r="Q189" s="28" t="s">
        <v>100</v>
      </c>
      <c r="R189" s="5">
        <v>-0.2</v>
      </c>
    </row>
    <row r="190" spans="12:18" x14ac:dyDescent="0.4">
      <c r="L190" s="33">
        <v>186</v>
      </c>
      <c r="M190" s="33" t="s">
        <v>473</v>
      </c>
      <c r="N190" s="34" t="s">
        <v>474</v>
      </c>
      <c r="O190" s="27">
        <v>309873</v>
      </c>
      <c r="P190" s="35">
        <v>9.709575274100142E-2</v>
      </c>
      <c r="Q190" s="28" t="s">
        <v>100</v>
      </c>
      <c r="R190" s="5">
        <v>-0.2</v>
      </c>
    </row>
    <row r="191" spans="12:18" x14ac:dyDescent="0.4">
      <c r="L191" s="33">
        <v>187</v>
      </c>
      <c r="M191" s="33" t="s">
        <v>475</v>
      </c>
      <c r="N191" s="34" t="s">
        <v>476</v>
      </c>
      <c r="O191" s="27">
        <v>308497</v>
      </c>
      <c r="P191" s="35">
        <v>9.666459624859447E-2</v>
      </c>
      <c r="Q191" s="28" t="s">
        <v>100</v>
      </c>
      <c r="R191" s="5">
        <v>-0.2</v>
      </c>
    </row>
    <row r="192" spans="12:18" x14ac:dyDescent="0.4">
      <c r="L192" s="33">
        <v>188</v>
      </c>
      <c r="M192" s="33" t="s">
        <v>477</v>
      </c>
      <c r="N192" s="34" t="s">
        <v>478</v>
      </c>
      <c r="O192" s="27">
        <v>306130</v>
      </c>
      <c r="P192" s="35">
        <v>9.5922919346321758E-2</v>
      </c>
      <c r="Q192" s="28" t="s">
        <v>100</v>
      </c>
      <c r="R192" s="5">
        <v>-0.2</v>
      </c>
    </row>
    <row r="193" spans="12:18" x14ac:dyDescent="0.4">
      <c r="L193" s="33">
        <v>189</v>
      </c>
      <c r="M193" s="33" t="s">
        <v>479</v>
      </c>
      <c r="N193" s="34" t="s">
        <v>480</v>
      </c>
      <c r="O193" s="27">
        <v>298172</v>
      </c>
      <c r="P193" s="35">
        <v>9.3429355853171706E-2</v>
      </c>
      <c r="Q193" s="28" t="s">
        <v>100</v>
      </c>
      <c r="R193" s="5">
        <v>-0.2</v>
      </c>
    </row>
    <row r="194" spans="12:18" x14ac:dyDescent="0.4">
      <c r="L194" s="33">
        <v>190</v>
      </c>
      <c r="M194" s="33" t="s">
        <v>481</v>
      </c>
      <c r="N194" s="34" t="s">
        <v>482</v>
      </c>
      <c r="O194" s="27">
        <v>304722</v>
      </c>
      <c r="P194" s="35">
        <v>9.5481735958742556E-2</v>
      </c>
      <c r="Q194" s="28" t="s">
        <v>100</v>
      </c>
      <c r="R194" s="5">
        <v>-0.2</v>
      </c>
    </row>
    <row r="195" spans="12:18" x14ac:dyDescent="0.4">
      <c r="L195" s="33">
        <v>191</v>
      </c>
      <c r="M195" s="33" t="s">
        <v>483</v>
      </c>
      <c r="N195" s="34" t="s">
        <v>484</v>
      </c>
      <c r="O195" s="27">
        <v>299301</v>
      </c>
      <c r="P195" s="35">
        <v>9.3783117248467801E-2</v>
      </c>
      <c r="Q195" s="28" t="s">
        <v>100</v>
      </c>
      <c r="R195" s="5">
        <v>-0.2</v>
      </c>
    </row>
    <row r="196" spans="12:18" x14ac:dyDescent="0.4">
      <c r="L196" s="33">
        <v>192</v>
      </c>
      <c r="M196" s="33" t="s">
        <v>485</v>
      </c>
      <c r="N196" s="34" t="s">
        <v>486</v>
      </c>
      <c r="O196" s="27">
        <v>296883</v>
      </c>
      <c r="P196" s="35">
        <v>9.3025459982014322E-2</v>
      </c>
      <c r="Q196" s="28" t="s">
        <v>100</v>
      </c>
      <c r="R196" s="5">
        <v>-0.2</v>
      </c>
    </row>
    <row r="197" spans="12:18" x14ac:dyDescent="0.4">
      <c r="L197" s="33">
        <v>193</v>
      </c>
      <c r="M197" s="33" t="s">
        <v>487</v>
      </c>
      <c r="N197" s="34" t="s">
        <v>488</v>
      </c>
      <c r="O197" s="27">
        <v>289074</v>
      </c>
      <c r="P197" s="35">
        <v>9.0578584219510067E-2</v>
      </c>
      <c r="Q197" s="28" t="s">
        <v>100</v>
      </c>
      <c r="R197" s="5">
        <v>-0.2</v>
      </c>
    </row>
    <row r="198" spans="12:18" x14ac:dyDescent="0.4">
      <c r="L198" s="33">
        <v>194</v>
      </c>
      <c r="M198" s="33" t="s">
        <v>489</v>
      </c>
      <c r="N198" s="34" t="s">
        <v>490</v>
      </c>
      <c r="O198" s="27">
        <v>315099</v>
      </c>
      <c r="P198" s="35">
        <v>9.8733270058820238E-2</v>
      </c>
      <c r="Q198" s="28" t="s">
        <v>100</v>
      </c>
      <c r="R198" s="5">
        <v>-0.2</v>
      </c>
    </row>
    <row r="199" spans="12:18" x14ac:dyDescent="0.4">
      <c r="L199" s="33">
        <v>195</v>
      </c>
      <c r="M199" s="33" t="s">
        <v>491</v>
      </c>
      <c r="N199" s="34" t="s">
        <v>492</v>
      </c>
      <c r="O199" s="27">
        <v>285527</v>
      </c>
      <c r="P199" s="35">
        <v>8.9467165557760478E-2</v>
      </c>
      <c r="Q199" s="28" t="s">
        <v>100</v>
      </c>
      <c r="R199" s="5">
        <v>-0.2</v>
      </c>
    </row>
    <row r="200" spans="12:18" x14ac:dyDescent="0.4">
      <c r="L200" s="33">
        <v>196</v>
      </c>
      <c r="M200" s="33" t="s">
        <v>493</v>
      </c>
      <c r="N200" s="34" t="s">
        <v>494</v>
      </c>
      <c r="O200" s="27">
        <v>283117</v>
      </c>
      <c r="P200" s="35">
        <v>8.8712015015100051E-2</v>
      </c>
      <c r="Q200" s="28" t="s">
        <v>100</v>
      </c>
      <c r="R200" s="5">
        <v>-0.2</v>
      </c>
    </row>
    <row r="201" spans="12:18" x14ac:dyDescent="0.4">
      <c r="L201" s="33">
        <v>197</v>
      </c>
      <c r="M201" s="33" t="s">
        <v>495</v>
      </c>
      <c r="N201" s="34" t="s">
        <v>496</v>
      </c>
      <c r="O201" s="27">
        <v>277152</v>
      </c>
      <c r="P201" s="35">
        <v>8.684293908689697E-2</v>
      </c>
      <c r="Q201" s="28" t="s">
        <v>100</v>
      </c>
      <c r="R201" s="5">
        <v>-0.2</v>
      </c>
    </row>
    <row r="202" spans="12:18" x14ac:dyDescent="0.4">
      <c r="L202" s="33">
        <v>198</v>
      </c>
      <c r="M202" s="33" t="s">
        <v>497</v>
      </c>
      <c r="N202" s="34" t="s">
        <v>498</v>
      </c>
      <c r="O202" s="27">
        <v>277717</v>
      </c>
      <c r="P202" s="35">
        <v>8.7019976454782086E-2</v>
      </c>
      <c r="Q202" s="28" t="s">
        <v>100</v>
      </c>
      <c r="R202" s="5">
        <v>-0.2</v>
      </c>
    </row>
    <row r="203" spans="12:18" x14ac:dyDescent="0.4">
      <c r="L203" s="33">
        <v>199</v>
      </c>
      <c r="M203" s="33" t="s">
        <v>499</v>
      </c>
      <c r="N203" s="34" t="s">
        <v>500</v>
      </c>
      <c r="O203" s="27">
        <v>299061</v>
      </c>
      <c r="P203" s="35">
        <v>9.3707915534675904E-2</v>
      </c>
      <c r="Q203" s="28" t="s">
        <v>100</v>
      </c>
      <c r="R203" s="5">
        <v>-0.2</v>
      </c>
    </row>
    <row r="204" spans="12:18" x14ac:dyDescent="0.4">
      <c r="L204" s="33">
        <v>200</v>
      </c>
      <c r="M204" s="33" t="s">
        <v>501</v>
      </c>
      <c r="N204" s="34" t="s">
        <v>502</v>
      </c>
      <c r="O204" s="27">
        <v>274334</v>
      </c>
      <c r="P204" s="35">
        <v>8.5959945630790305E-2</v>
      </c>
      <c r="Q204" s="28" t="s">
        <v>100</v>
      </c>
      <c r="R204" s="5">
        <v>-0.2</v>
      </c>
    </row>
    <row r="205" spans="12:18" x14ac:dyDescent="0.4">
      <c r="L205" s="33">
        <v>201</v>
      </c>
      <c r="M205" s="33" t="s">
        <v>503</v>
      </c>
      <c r="N205" s="34" t="s">
        <v>504</v>
      </c>
      <c r="O205" s="27">
        <v>266381</v>
      </c>
      <c r="P205" s="35">
        <v>8.3467948840010908E-2</v>
      </c>
      <c r="Q205" s="28" t="s">
        <v>100</v>
      </c>
      <c r="R205" s="5">
        <v>-0.2</v>
      </c>
    </row>
    <row r="206" spans="12:18" x14ac:dyDescent="0.4">
      <c r="L206" s="33">
        <v>202</v>
      </c>
      <c r="M206" s="33" t="s">
        <v>505</v>
      </c>
      <c r="N206" s="34" t="s">
        <v>506</v>
      </c>
      <c r="O206" s="27">
        <v>265347</v>
      </c>
      <c r="P206" s="35">
        <v>8.3143954789757418E-2</v>
      </c>
      <c r="Q206" s="28" t="s">
        <v>100</v>
      </c>
      <c r="R206" s="5">
        <v>-0.2</v>
      </c>
    </row>
    <row r="207" spans="12:18" x14ac:dyDescent="0.4">
      <c r="L207" s="33">
        <v>203</v>
      </c>
      <c r="M207" s="33" t="s">
        <v>507</v>
      </c>
      <c r="N207" s="34" t="s">
        <v>508</v>
      </c>
      <c r="O207" s="27">
        <v>269851</v>
      </c>
      <c r="P207" s="35">
        <v>8.4555240285252256E-2</v>
      </c>
      <c r="Q207" s="28" t="s">
        <v>100</v>
      </c>
      <c r="R207" s="5">
        <v>-0.2</v>
      </c>
    </row>
    <row r="208" spans="12:18" x14ac:dyDescent="0.4">
      <c r="L208" s="33">
        <v>204</v>
      </c>
      <c r="M208" s="33" t="s">
        <v>509</v>
      </c>
      <c r="N208" s="34" t="s">
        <v>510</v>
      </c>
      <c r="O208" s="27">
        <v>261180</v>
      </c>
      <c r="P208" s="35">
        <v>8.1838265034045399E-2</v>
      </c>
      <c r="Q208" s="28" t="s">
        <v>100</v>
      </c>
      <c r="R208" s="5">
        <v>-0.2</v>
      </c>
    </row>
    <row r="209" spans="12:18" x14ac:dyDescent="0.4">
      <c r="L209" s="33">
        <v>205</v>
      </c>
      <c r="M209" s="33" t="s">
        <v>511</v>
      </c>
      <c r="N209" s="34" t="s">
        <v>512</v>
      </c>
      <c r="O209" s="27">
        <v>258225</v>
      </c>
      <c r="P209" s="35">
        <v>8.0912343932982508E-2</v>
      </c>
      <c r="Q209" s="28" t="s">
        <v>100</v>
      </c>
      <c r="R209" s="5">
        <v>-0.2</v>
      </c>
    </row>
    <row r="210" spans="12:18" x14ac:dyDescent="0.4">
      <c r="L210" s="33">
        <v>206</v>
      </c>
      <c r="M210" s="33" t="s">
        <v>513</v>
      </c>
      <c r="N210" s="34" t="s">
        <v>514</v>
      </c>
      <c r="O210" s="27">
        <v>354832</v>
      </c>
      <c r="P210" s="35">
        <v>0.11118322711754497</v>
      </c>
      <c r="Q210" s="28" t="s">
        <v>97</v>
      </c>
      <c r="R210" s="5">
        <v>-0.3</v>
      </c>
    </row>
    <row r="211" spans="12:18" x14ac:dyDescent="0.4">
      <c r="L211" s="33">
        <v>207</v>
      </c>
      <c r="M211" s="33" t="s">
        <v>515</v>
      </c>
      <c r="N211" s="34" t="s">
        <v>516</v>
      </c>
      <c r="O211" s="27">
        <v>254514</v>
      </c>
      <c r="P211" s="35">
        <v>7.9749537433475112E-2</v>
      </c>
      <c r="Q211" s="28" t="s">
        <v>100</v>
      </c>
      <c r="R211" s="5">
        <v>-0.2</v>
      </c>
    </row>
    <row r="212" spans="12:18" x14ac:dyDescent="0.4">
      <c r="L212" s="33">
        <v>208</v>
      </c>
      <c r="M212" s="33" t="s">
        <v>517</v>
      </c>
      <c r="N212" s="34" t="s">
        <v>518</v>
      </c>
      <c r="O212" s="27">
        <v>252656</v>
      </c>
      <c r="P212" s="35">
        <v>7.9167350832536079E-2</v>
      </c>
      <c r="Q212" s="28" t="s">
        <v>100</v>
      </c>
      <c r="R212" s="5">
        <v>-0.2</v>
      </c>
    </row>
    <row r="213" spans="12:18" x14ac:dyDescent="0.4">
      <c r="L213" s="33">
        <v>209</v>
      </c>
      <c r="M213" s="33" t="s">
        <v>519</v>
      </c>
      <c r="N213" s="34" t="s">
        <v>520</v>
      </c>
      <c r="O213" s="27">
        <v>277369</v>
      </c>
      <c r="P213" s="35">
        <v>8.6910933969783818E-2</v>
      </c>
      <c r="Q213" s="28" t="s">
        <v>100</v>
      </c>
      <c r="R213" s="5">
        <v>-0.2</v>
      </c>
    </row>
    <row r="214" spans="12:18" x14ac:dyDescent="0.4">
      <c r="L214" s="33">
        <v>210</v>
      </c>
      <c r="M214" s="33" t="s">
        <v>521</v>
      </c>
      <c r="N214" s="34" t="s">
        <v>522</v>
      </c>
      <c r="O214" s="27">
        <v>253129</v>
      </c>
      <c r="P214" s="35">
        <v>7.9315560876800972E-2</v>
      </c>
      <c r="Q214" s="28" t="s">
        <v>100</v>
      </c>
      <c r="R214" s="5">
        <v>-0.2</v>
      </c>
    </row>
    <row r="215" spans="12:18" x14ac:dyDescent="0.4">
      <c r="L215" s="33">
        <v>211</v>
      </c>
      <c r="M215" s="33" t="s">
        <v>523</v>
      </c>
      <c r="N215" s="34" t="s">
        <v>524</v>
      </c>
      <c r="O215" s="27">
        <v>249132</v>
      </c>
      <c r="P215" s="35">
        <v>7.8063139001691553E-2</v>
      </c>
      <c r="Q215" s="28" t="s">
        <v>100</v>
      </c>
      <c r="R215" s="5">
        <v>-0.2</v>
      </c>
    </row>
    <row r="216" spans="12:18" x14ac:dyDescent="0.4">
      <c r="L216" s="33">
        <v>212</v>
      </c>
      <c r="M216" s="33" t="s">
        <v>525</v>
      </c>
      <c r="N216" s="34" t="s">
        <v>526</v>
      </c>
      <c r="O216" s="27">
        <v>256518</v>
      </c>
      <c r="P216" s="35">
        <v>8.037747174363756E-2</v>
      </c>
      <c r="Q216" s="28" t="s">
        <v>100</v>
      </c>
      <c r="R216" s="5">
        <v>-0.2</v>
      </c>
    </row>
    <row r="217" spans="12:18" x14ac:dyDescent="0.4">
      <c r="L217" s="33">
        <v>213</v>
      </c>
      <c r="M217" s="33" t="s">
        <v>527</v>
      </c>
      <c r="N217" s="34" t="s">
        <v>528</v>
      </c>
      <c r="O217" s="27">
        <v>247262</v>
      </c>
      <c r="P217" s="35">
        <v>7.747719231506292E-2</v>
      </c>
      <c r="Q217" s="28" t="s">
        <v>100</v>
      </c>
      <c r="R217" s="5">
        <v>-0.2</v>
      </c>
    </row>
    <row r="218" spans="12:18" x14ac:dyDescent="0.4">
      <c r="L218" s="33">
        <v>214</v>
      </c>
      <c r="M218" s="33" t="s">
        <v>529</v>
      </c>
      <c r="N218" s="34" t="s">
        <v>530</v>
      </c>
      <c r="O218" s="27">
        <v>247237</v>
      </c>
      <c r="P218" s="35">
        <v>7.7469358803209598E-2</v>
      </c>
      <c r="Q218" s="28" t="s">
        <v>100</v>
      </c>
      <c r="R218" s="5">
        <v>-0.2</v>
      </c>
    </row>
    <row r="219" spans="12:18" x14ac:dyDescent="0.4">
      <c r="L219" s="33">
        <v>215</v>
      </c>
      <c r="M219" s="33" t="s">
        <v>531</v>
      </c>
      <c r="N219" s="34" t="s">
        <v>532</v>
      </c>
      <c r="O219" s="27">
        <v>247098</v>
      </c>
      <c r="P219" s="35">
        <v>7.7425804477305113E-2</v>
      </c>
      <c r="Q219" s="28" t="s">
        <v>100</v>
      </c>
      <c r="R219" s="5">
        <v>-0.2</v>
      </c>
    </row>
    <row r="220" spans="12:18" x14ac:dyDescent="0.4">
      <c r="L220" s="33">
        <v>216</v>
      </c>
      <c r="M220" s="33" t="s">
        <v>533</v>
      </c>
      <c r="N220" s="34" t="s">
        <v>56</v>
      </c>
      <c r="O220" s="27">
        <v>311134</v>
      </c>
      <c r="P220" s="35">
        <v>9.7490875078883071E-2</v>
      </c>
      <c r="Q220" s="28" t="s">
        <v>100</v>
      </c>
      <c r="R220" s="5">
        <v>-0.2</v>
      </c>
    </row>
    <row r="221" spans="12:18" x14ac:dyDescent="0.4">
      <c r="L221" s="33">
        <v>217</v>
      </c>
      <c r="M221" s="33" t="s">
        <v>534</v>
      </c>
      <c r="N221" s="34" t="s">
        <v>535</v>
      </c>
      <c r="O221" s="27">
        <v>255792</v>
      </c>
      <c r="P221" s="35">
        <v>8.0149986559417033E-2</v>
      </c>
      <c r="Q221" s="28" t="s">
        <v>100</v>
      </c>
      <c r="R221" s="5">
        <v>-0.2</v>
      </c>
    </row>
    <row r="222" spans="12:18" x14ac:dyDescent="0.4">
      <c r="L222" s="33">
        <v>218</v>
      </c>
      <c r="M222" s="33" t="s">
        <v>536</v>
      </c>
      <c r="N222" s="34" t="s">
        <v>537</v>
      </c>
      <c r="O222" s="27">
        <v>280012</v>
      </c>
      <c r="P222" s="35">
        <v>8.7739092842917227E-2</v>
      </c>
      <c r="Q222" s="28" t="s">
        <v>100</v>
      </c>
      <c r="R222" s="5">
        <v>-0.2</v>
      </c>
    </row>
    <row r="223" spans="12:18" x14ac:dyDescent="0.4">
      <c r="L223" s="33">
        <v>219</v>
      </c>
      <c r="M223" s="33" t="s">
        <v>538</v>
      </c>
      <c r="N223" s="34" t="s">
        <v>539</v>
      </c>
      <c r="O223" s="27">
        <v>237566</v>
      </c>
      <c r="P223" s="35">
        <v>7.4439043077869776E-2</v>
      </c>
      <c r="Q223" s="28" t="s">
        <v>100</v>
      </c>
      <c r="R223" s="5">
        <v>-0.2</v>
      </c>
    </row>
    <row r="224" spans="12:18" x14ac:dyDescent="0.4">
      <c r="L224" s="33">
        <v>220</v>
      </c>
      <c r="M224" s="33" t="s">
        <v>540</v>
      </c>
      <c r="N224" s="34" t="s">
        <v>541</v>
      </c>
      <c r="O224" s="27">
        <v>233742</v>
      </c>
      <c r="P224" s="35">
        <v>7.3240829104785354E-2</v>
      </c>
      <c r="Q224" s="28" t="s">
        <v>100</v>
      </c>
      <c r="R224" s="5">
        <v>-0.2</v>
      </c>
    </row>
    <row r="225" spans="12:18" x14ac:dyDescent="0.4">
      <c r="L225" s="33">
        <v>221</v>
      </c>
      <c r="M225" s="33" t="s">
        <v>542</v>
      </c>
      <c r="N225" s="34" t="s">
        <v>543</v>
      </c>
      <c r="O225" s="27">
        <v>317874</v>
      </c>
      <c r="P225" s="35">
        <v>9.9602789874539188E-2</v>
      </c>
      <c r="Q225" s="28" t="s">
        <v>100</v>
      </c>
      <c r="R225" s="5">
        <v>-0.2</v>
      </c>
    </row>
    <row r="226" spans="12:18" x14ac:dyDescent="0.4">
      <c r="L226" s="33">
        <v>222</v>
      </c>
      <c r="M226" s="33" t="s">
        <v>544</v>
      </c>
      <c r="N226" s="34" t="s">
        <v>545</v>
      </c>
      <c r="O226" s="27">
        <v>226568</v>
      </c>
      <c r="P226" s="35">
        <v>7.0992924543355526E-2</v>
      </c>
      <c r="Q226" s="28" t="s">
        <v>100</v>
      </c>
      <c r="R226" s="5">
        <v>-0.2</v>
      </c>
    </row>
    <row r="227" spans="12:18" x14ac:dyDescent="0.4">
      <c r="L227" s="33">
        <v>223</v>
      </c>
      <c r="M227" s="33" t="s">
        <v>546</v>
      </c>
      <c r="N227" s="34" t="s">
        <v>547</v>
      </c>
      <c r="O227" s="27">
        <v>227745</v>
      </c>
      <c r="P227" s="35">
        <v>7.1361726281410021E-2</v>
      </c>
      <c r="Q227" s="28" t="s">
        <v>100</v>
      </c>
      <c r="R227" s="5">
        <v>-0.2</v>
      </c>
    </row>
    <row r="228" spans="12:18" x14ac:dyDescent="0.4">
      <c r="L228" s="33">
        <v>224</v>
      </c>
      <c r="M228" s="33" t="s">
        <v>548</v>
      </c>
      <c r="N228" s="34" t="s">
        <v>549</v>
      </c>
      <c r="O228" s="27">
        <v>227985</v>
      </c>
      <c r="P228" s="35">
        <v>7.1436927995201932E-2</v>
      </c>
      <c r="Q228" s="28" t="s">
        <v>100</v>
      </c>
      <c r="R228" s="5">
        <v>-0.2</v>
      </c>
    </row>
    <row r="229" spans="12:18" x14ac:dyDescent="0.4">
      <c r="L229" s="33">
        <v>225</v>
      </c>
      <c r="M229" s="33" t="s">
        <v>550</v>
      </c>
      <c r="N229" s="34" t="s">
        <v>551</v>
      </c>
      <c r="O229" s="27">
        <v>218910</v>
      </c>
      <c r="P229" s="35">
        <v>6.8593363192445356E-2</v>
      </c>
      <c r="Q229" s="28" t="s">
        <v>100</v>
      </c>
      <c r="R229" s="5">
        <v>-0.2</v>
      </c>
    </row>
    <row r="230" spans="12:18" x14ac:dyDescent="0.4">
      <c r="L230" s="33">
        <v>226</v>
      </c>
      <c r="M230" s="33" t="s">
        <v>552</v>
      </c>
      <c r="N230" s="34" t="s">
        <v>553</v>
      </c>
      <c r="O230" s="27">
        <v>222739</v>
      </c>
      <c r="P230" s="35">
        <v>6.9793143867900448E-2</v>
      </c>
      <c r="Q230" s="28" t="s">
        <v>100</v>
      </c>
      <c r="R230" s="5">
        <v>-0.2</v>
      </c>
    </row>
    <row r="231" spans="12:18" x14ac:dyDescent="0.4">
      <c r="L231" s="33">
        <v>227</v>
      </c>
      <c r="M231" s="33" t="s">
        <v>554</v>
      </c>
      <c r="N231" s="34" t="s">
        <v>555</v>
      </c>
      <c r="O231" s="27">
        <v>231915</v>
      </c>
      <c r="P231" s="35">
        <v>7.266835605854445E-2</v>
      </c>
      <c r="Q231" s="28" t="s">
        <v>100</v>
      </c>
      <c r="R231" s="5">
        <v>-0.2</v>
      </c>
    </row>
    <row r="232" spans="12:18" x14ac:dyDescent="0.4">
      <c r="L232" s="33">
        <v>228</v>
      </c>
      <c r="M232" s="33" t="s">
        <v>556</v>
      </c>
      <c r="N232" s="34" t="s">
        <v>557</v>
      </c>
      <c r="O232" s="27">
        <v>215781</v>
      </c>
      <c r="P232" s="35">
        <v>6.7612920848883332E-2</v>
      </c>
      <c r="Q232" s="28" t="s">
        <v>100</v>
      </c>
      <c r="R232" s="5">
        <v>-0.2</v>
      </c>
    </row>
    <row r="233" spans="12:18" x14ac:dyDescent="0.4">
      <c r="L233" s="33">
        <v>229</v>
      </c>
      <c r="M233" s="33" t="s">
        <v>558</v>
      </c>
      <c r="N233" s="34" t="s">
        <v>559</v>
      </c>
      <c r="O233" s="27">
        <v>299134</v>
      </c>
      <c r="P233" s="35">
        <v>9.3730789389287597E-2</v>
      </c>
      <c r="Q233" s="28" t="s">
        <v>100</v>
      </c>
      <c r="R233" s="5">
        <v>-0.2</v>
      </c>
    </row>
    <row r="234" spans="12:18" x14ac:dyDescent="0.4">
      <c r="L234" s="33">
        <v>230</v>
      </c>
      <c r="M234" s="33" t="s">
        <v>560</v>
      </c>
      <c r="N234" s="34" t="s">
        <v>561</v>
      </c>
      <c r="O234" s="27">
        <v>209874</v>
      </c>
      <c r="P234" s="35">
        <v>6.5762018668179961E-2</v>
      </c>
      <c r="Q234" s="28" t="s">
        <v>100</v>
      </c>
      <c r="R234" s="5">
        <v>-0.2</v>
      </c>
    </row>
    <row r="235" spans="12:18" x14ac:dyDescent="0.4">
      <c r="L235" s="33">
        <v>231</v>
      </c>
      <c r="M235" s="33" t="s">
        <v>562</v>
      </c>
      <c r="N235" s="34" t="s">
        <v>563</v>
      </c>
      <c r="O235" s="27">
        <v>210284</v>
      </c>
      <c r="P235" s="35">
        <v>6.5890488262574473E-2</v>
      </c>
      <c r="Q235" s="28" t="s">
        <v>100</v>
      </c>
      <c r="R235" s="5">
        <v>-0.2</v>
      </c>
    </row>
    <row r="236" spans="12:18" x14ac:dyDescent="0.4">
      <c r="L236" s="33">
        <v>232</v>
      </c>
      <c r="M236" s="33" t="s">
        <v>564</v>
      </c>
      <c r="N236" s="34" t="s">
        <v>53</v>
      </c>
      <c r="O236" s="27">
        <v>222474</v>
      </c>
      <c r="P236" s="35">
        <v>6.9710108642255214E-2</v>
      </c>
      <c r="Q236" s="28" t="s">
        <v>100</v>
      </c>
      <c r="R236" s="5">
        <v>-0.2</v>
      </c>
    </row>
    <row r="237" spans="12:18" x14ac:dyDescent="0.4">
      <c r="L237" s="33">
        <v>233</v>
      </c>
      <c r="M237" s="33" t="s">
        <v>565</v>
      </c>
      <c r="N237" s="34" t="s">
        <v>566</v>
      </c>
      <c r="O237" s="27">
        <v>225674</v>
      </c>
      <c r="P237" s="35">
        <v>7.0712798159480672E-2</v>
      </c>
      <c r="Q237" s="28" t="s">
        <v>100</v>
      </c>
      <c r="R237" s="5">
        <v>-0.2</v>
      </c>
    </row>
    <row r="238" spans="12:18" x14ac:dyDescent="0.4">
      <c r="L238" s="33">
        <v>234</v>
      </c>
      <c r="M238" s="33" t="s">
        <v>567</v>
      </c>
      <c r="N238" s="34" t="s">
        <v>568</v>
      </c>
      <c r="O238" s="27">
        <v>203470</v>
      </c>
      <c r="P238" s="35">
        <v>6.3755386271832512E-2</v>
      </c>
      <c r="Q238" s="28" t="s">
        <v>100</v>
      </c>
      <c r="R238" s="5">
        <v>-0.2</v>
      </c>
    </row>
    <row r="239" spans="12:18" x14ac:dyDescent="0.4">
      <c r="L239" s="33">
        <v>235</v>
      </c>
      <c r="M239" s="33" t="s">
        <v>569</v>
      </c>
      <c r="N239" s="34" t="s">
        <v>570</v>
      </c>
      <c r="O239" s="27">
        <v>200337</v>
      </c>
      <c r="P239" s="35">
        <v>6.2773690566373969E-2</v>
      </c>
      <c r="Q239" s="28" t="s">
        <v>100</v>
      </c>
      <c r="R239" s="5">
        <v>-0.2</v>
      </c>
    </row>
    <row r="240" spans="12:18" x14ac:dyDescent="0.4">
      <c r="L240" s="33">
        <v>236</v>
      </c>
      <c r="M240" s="33" t="s">
        <v>571</v>
      </c>
      <c r="N240" s="34" t="s">
        <v>572</v>
      </c>
      <c r="O240" s="27">
        <v>204903</v>
      </c>
      <c r="P240" s="35">
        <v>6.4204403171265051E-2</v>
      </c>
      <c r="Q240" s="28" t="s">
        <v>100</v>
      </c>
      <c r="R240" s="5">
        <v>-0.2</v>
      </c>
    </row>
    <row r="241" spans="12:18" x14ac:dyDescent="0.4">
      <c r="L241" s="33">
        <v>237</v>
      </c>
      <c r="M241" s="33" t="s">
        <v>573</v>
      </c>
      <c r="N241" s="34" t="s">
        <v>574</v>
      </c>
      <c r="O241" s="27">
        <v>201098</v>
      </c>
      <c r="P241" s="35">
        <v>6.3012142667189144E-2</v>
      </c>
      <c r="Q241" s="28" t="s">
        <v>100</v>
      </c>
      <c r="R241" s="5">
        <v>-0.2</v>
      </c>
    </row>
    <row r="242" spans="12:18" x14ac:dyDescent="0.4">
      <c r="L242" s="33">
        <v>238</v>
      </c>
      <c r="M242" s="33" t="s">
        <v>575</v>
      </c>
      <c r="N242" s="34" t="s">
        <v>576</v>
      </c>
      <c r="O242" s="27">
        <v>201085</v>
      </c>
      <c r="P242" s="35">
        <v>6.3008069241025422E-2</v>
      </c>
      <c r="Q242" s="28" t="s">
        <v>100</v>
      </c>
      <c r="R242" s="5">
        <v>-0.2</v>
      </c>
    </row>
    <row r="243" spans="12:18" x14ac:dyDescent="0.4">
      <c r="L243" s="33">
        <v>239</v>
      </c>
      <c r="M243" s="33" t="s">
        <v>577</v>
      </c>
      <c r="N243" s="34" t="s">
        <v>578</v>
      </c>
      <c r="O243" s="27">
        <v>198965</v>
      </c>
      <c r="P243" s="35">
        <v>6.2343787435863551E-2</v>
      </c>
      <c r="Q243" s="28" t="s">
        <v>100</v>
      </c>
      <c r="R243" s="5">
        <v>-0.2</v>
      </c>
    </row>
    <row r="244" spans="12:18" x14ac:dyDescent="0.4">
      <c r="L244" s="33">
        <v>240</v>
      </c>
      <c r="M244" s="33" t="s">
        <v>579</v>
      </c>
      <c r="N244" s="34" t="s">
        <v>580</v>
      </c>
      <c r="O244" s="27">
        <v>196475</v>
      </c>
      <c r="P244" s="35">
        <v>6.1563569655272495E-2</v>
      </c>
      <c r="Q244" s="28" t="s">
        <v>100</v>
      </c>
      <c r="R244" s="5">
        <v>-0.2</v>
      </c>
    </row>
    <row r="245" spans="12:18" x14ac:dyDescent="0.4">
      <c r="L245" s="33">
        <v>241</v>
      </c>
      <c r="M245" s="33" t="s">
        <v>581</v>
      </c>
      <c r="N245" s="34" t="s">
        <v>582</v>
      </c>
      <c r="O245" s="27">
        <v>200110</v>
      </c>
      <c r="P245" s="35">
        <v>6.2702562278745794E-2</v>
      </c>
      <c r="Q245" s="28" t="s">
        <v>100</v>
      </c>
      <c r="R245" s="5">
        <v>-0.2</v>
      </c>
    </row>
    <row r="246" spans="12:18" x14ac:dyDescent="0.4">
      <c r="L246" s="33">
        <v>242</v>
      </c>
      <c r="M246" s="33" t="s">
        <v>583</v>
      </c>
      <c r="N246" s="34" t="s">
        <v>584</v>
      </c>
      <c r="O246" s="27">
        <v>194171</v>
      </c>
      <c r="P246" s="35">
        <v>6.0841633202870164E-2</v>
      </c>
      <c r="Q246" s="28" t="s">
        <v>100</v>
      </c>
      <c r="R246" s="5">
        <v>-0.2</v>
      </c>
    </row>
    <row r="247" spans="12:18" x14ac:dyDescent="0.4">
      <c r="L247" s="33">
        <v>243</v>
      </c>
      <c r="M247" s="33" t="s">
        <v>585</v>
      </c>
      <c r="N247" s="34" t="s">
        <v>586</v>
      </c>
      <c r="O247" s="27">
        <v>191410</v>
      </c>
      <c r="P247" s="35">
        <v>5.9976500153789074E-2</v>
      </c>
      <c r="Q247" s="28" t="s">
        <v>100</v>
      </c>
      <c r="R247" s="5">
        <v>-0.2</v>
      </c>
    </row>
    <row r="248" spans="12:18" x14ac:dyDescent="0.4">
      <c r="L248" s="33">
        <v>244</v>
      </c>
      <c r="M248" s="33" t="s">
        <v>587</v>
      </c>
      <c r="N248" s="34" t="s">
        <v>588</v>
      </c>
      <c r="O248" s="27">
        <v>202284</v>
      </c>
      <c r="P248" s="35">
        <v>6.3383764469510828E-2</v>
      </c>
      <c r="Q248" s="28" t="s">
        <v>100</v>
      </c>
      <c r="R248" s="5">
        <v>-0.2</v>
      </c>
    </row>
    <row r="249" spans="12:18" x14ac:dyDescent="0.4">
      <c r="L249" s="33">
        <v>245</v>
      </c>
      <c r="M249" s="33" t="s">
        <v>589</v>
      </c>
      <c r="N249" s="34" t="s">
        <v>590</v>
      </c>
      <c r="O249" s="27">
        <v>183776</v>
      </c>
      <c r="P249" s="35">
        <v>5.7584458974258089E-2</v>
      </c>
      <c r="Q249" s="28" t="s">
        <v>100</v>
      </c>
      <c r="R249" s="5">
        <v>-0.2</v>
      </c>
    </row>
    <row r="250" spans="12:18" x14ac:dyDescent="0.4">
      <c r="L250" s="33">
        <v>246</v>
      </c>
      <c r="M250" s="33" t="s">
        <v>591</v>
      </c>
      <c r="N250" s="34" t="s">
        <v>592</v>
      </c>
      <c r="O250" s="27">
        <v>177363</v>
      </c>
      <c r="P250" s="35">
        <v>5.5575006513643443E-2</v>
      </c>
      <c r="Q250" s="28" t="s">
        <v>100</v>
      </c>
      <c r="R250" s="5">
        <v>-0.2</v>
      </c>
    </row>
    <row r="251" spans="12:18" x14ac:dyDescent="0.4">
      <c r="L251" s="33">
        <v>247</v>
      </c>
      <c r="M251" s="33" t="s">
        <v>593</v>
      </c>
      <c r="N251" s="34" t="s">
        <v>594</v>
      </c>
      <c r="O251" s="27">
        <v>180200</v>
      </c>
      <c r="P251" s="35">
        <v>5.6463953438758638E-2</v>
      </c>
      <c r="Q251" s="28" t="s">
        <v>100</v>
      </c>
      <c r="R251" s="5">
        <v>-0.2</v>
      </c>
    </row>
    <row r="252" spans="12:18" x14ac:dyDescent="0.4">
      <c r="L252" s="33">
        <v>248</v>
      </c>
      <c r="M252" s="33" t="s">
        <v>595</v>
      </c>
      <c r="N252" s="34" t="s">
        <v>596</v>
      </c>
      <c r="O252" s="27">
        <v>172687</v>
      </c>
      <c r="P252" s="35">
        <v>5.4109826456597739E-2</v>
      </c>
      <c r="Q252" s="28" t="s">
        <v>100</v>
      </c>
      <c r="R252" s="5">
        <v>-0.2</v>
      </c>
    </row>
    <row r="253" spans="12:18" x14ac:dyDescent="0.4">
      <c r="L253" s="33">
        <v>249</v>
      </c>
      <c r="M253" s="33" t="s">
        <v>597</v>
      </c>
      <c r="N253" s="34" t="s">
        <v>598</v>
      </c>
      <c r="O253" s="27">
        <v>169667</v>
      </c>
      <c r="P253" s="35">
        <v>5.3163538224716214E-2</v>
      </c>
      <c r="Q253" s="28" t="s">
        <v>100</v>
      </c>
      <c r="R253" s="5">
        <v>-0.2</v>
      </c>
    </row>
    <row r="254" spans="12:18" x14ac:dyDescent="0.4">
      <c r="L254" s="33">
        <v>250</v>
      </c>
      <c r="M254" s="33" t="s">
        <v>599</v>
      </c>
      <c r="N254" s="34" t="s">
        <v>600</v>
      </c>
      <c r="O254" s="27">
        <v>179276</v>
      </c>
      <c r="P254" s="35">
        <v>5.6174426840659784E-2</v>
      </c>
      <c r="Q254" s="28" t="s">
        <v>100</v>
      </c>
      <c r="R254" s="5">
        <v>-0.2</v>
      </c>
    </row>
    <row r="255" spans="12:18" x14ac:dyDescent="0.4">
      <c r="L255" s="33">
        <v>251</v>
      </c>
      <c r="M255" s="33" t="s">
        <v>601</v>
      </c>
      <c r="N255" s="34" t="s">
        <v>602</v>
      </c>
      <c r="O255" s="27">
        <v>168672</v>
      </c>
      <c r="P255" s="35">
        <v>5.285176445295392E-2</v>
      </c>
      <c r="Q255" s="28" t="s">
        <v>100</v>
      </c>
      <c r="R255" s="5">
        <v>-0.2</v>
      </c>
    </row>
    <row r="256" spans="12:18" x14ac:dyDescent="0.4">
      <c r="L256" s="33">
        <v>252</v>
      </c>
      <c r="M256" s="33" t="s">
        <v>603</v>
      </c>
      <c r="N256" s="34" t="s">
        <v>604</v>
      </c>
      <c r="O256" s="27">
        <v>171162</v>
      </c>
      <c r="P256" s="35">
        <v>5.3631982233544984E-2</v>
      </c>
      <c r="Q256" s="28" t="s">
        <v>100</v>
      </c>
      <c r="R256" s="5">
        <v>-0.2</v>
      </c>
    </row>
    <row r="257" spans="12:18" x14ac:dyDescent="0.4">
      <c r="L257" s="33">
        <v>253</v>
      </c>
      <c r="M257" s="33" t="s">
        <v>605</v>
      </c>
      <c r="N257" s="34" t="s">
        <v>606</v>
      </c>
      <c r="O257" s="27">
        <v>181135</v>
      </c>
      <c r="P257" s="35">
        <v>5.6756926782072947E-2</v>
      </c>
      <c r="Q257" s="28" t="s">
        <v>100</v>
      </c>
      <c r="R257" s="5">
        <v>-0.2</v>
      </c>
    </row>
    <row r="258" spans="12:18" x14ac:dyDescent="0.4">
      <c r="L258" s="33">
        <v>254</v>
      </c>
      <c r="M258" s="33" t="s">
        <v>607</v>
      </c>
      <c r="N258" s="34" t="s">
        <v>608</v>
      </c>
      <c r="O258" s="27">
        <v>185632</v>
      </c>
      <c r="P258" s="35">
        <v>5.8166018894248855E-2</v>
      </c>
      <c r="Q258" s="28" t="s">
        <v>100</v>
      </c>
      <c r="R258" s="5">
        <v>-0.2</v>
      </c>
    </row>
    <row r="259" spans="12:18" x14ac:dyDescent="0.4">
      <c r="L259" s="33">
        <v>255</v>
      </c>
      <c r="M259" s="33" t="s">
        <v>609</v>
      </c>
      <c r="N259" s="34" t="s">
        <v>45</v>
      </c>
      <c r="O259" s="27">
        <v>203417</v>
      </c>
      <c r="P259" s="35">
        <v>6.3738779226703471E-2</v>
      </c>
      <c r="Q259" s="28" t="s">
        <v>100</v>
      </c>
      <c r="R259" s="5">
        <v>-0.2</v>
      </c>
    </row>
    <row r="260" spans="12:18" x14ac:dyDescent="0.4">
      <c r="L260" s="33">
        <v>256</v>
      </c>
      <c r="M260" s="33" t="s">
        <v>610</v>
      </c>
      <c r="N260" s="34" t="s">
        <v>611</v>
      </c>
      <c r="O260" s="27">
        <v>166588</v>
      </c>
      <c r="P260" s="35">
        <v>5.2198762904860842E-2</v>
      </c>
      <c r="Q260" s="28" t="s">
        <v>100</v>
      </c>
      <c r="R260" s="5">
        <v>-0.2</v>
      </c>
    </row>
    <row r="261" spans="12:18" x14ac:dyDescent="0.4">
      <c r="L261" s="33">
        <v>257</v>
      </c>
      <c r="M261" s="33" t="s">
        <v>612</v>
      </c>
      <c r="N261" s="34" t="s">
        <v>613</v>
      </c>
      <c r="O261" s="27">
        <v>166684</v>
      </c>
      <c r="P261" s="35">
        <v>5.2228843590377605E-2</v>
      </c>
      <c r="Q261" s="28" t="s">
        <v>100</v>
      </c>
      <c r="R261" s="5">
        <v>-0.2</v>
      </c>
    </row>
    <row r="262" spans="12:18" x14ac:dyDescent="0.4">
      <c r="L262" s="33">
        <v>258</v>
      </c>
      <c r="M262" s="33" t="s">
        <v>614</v>
      </c>
      <c r="N262" s="34" t="s">
        <v>615</v>
      </c>
      <c r="O262" s="27">
        <v>173676</v>
      </c>
      <c r="P262" s="35">
        <v>5.4419720185515233E-2</v>
      </c>
      <c r="Q262" s="28" t="s">
        <v>100</v>
      </c>
      <c r="R262" s="5">
        <v>-0.2</v>
      </c>
    </row>
    <row r="263" spans="12:18" x14ac:dyDescent="0.4">
      <c r="L263" s="33">
        <v>259</v>
      </c>
      <c r="M263" s="33" t="s">
        <v>616</v>
      </c>
      <c r="N263" s="34" t="s">
        <v>617</v>
      </c>
      <c r="O263" s="27">
        <v>166362</v>
      </c>
      <c r="P263" s="35">
        <v>5.2127947957706797E-2</v>
      </c>
      <c r="Q263" s="28" t="s">
        <v>100</v>
      </c>
      <c r="R263" s="5">
        <v>-0.2</v>
      </c>
    </row>
    <row r="264" spans="12:18" x14ac:dyDescent="0.4">
      <c r="L264" s="33">
        <v>260</v>
      </c>
      <c r="M264" s="33" t="s">
        <v>618</v>
      </c>
      <c r="N264" s="34" t="s">
        <v>619</v>
      </c>
      <c r="O264" s="27">
        <v>163887</v>
      </c>
      <c r="P264" s="35">
        <v>5.1352430284227729E-2</v>
      </c>
      <c r="Q264" s="28" t="s">
        <v>100</v>
      </c>
      <c r="R264" s="5">
        <v>-0.2</v>
      </c>
    </row>
    <row r="265" spans="12:18" x14ac:dyDescent="0.4">
      <c r="L265" s="33">
        <v>261</v>
      </c>
      <c r="M265" s="33" t="s">
        <v>620</v>
      </c>
      <c r="N265" s="34" t="s">
        <v>621</v>
      </c>
      <c r="O265" s="27">
        <v>163656</v>
      </c>
      <c r="P265" s="35">
        <v>5.1280048634703014E-2</v>
      </c>
      <c r="Q265" s="28" t="s">
        <v>100</v>
      </c>
      <c r="R265" s="5">
        <v>-0.2</v>
      </c>
    </row>
    <row r="266" spans="12:18" x14ac:dyDescent="0.4">
      <c r="L266" s="33">
        <v>262</v>
      </c>
      <c r="M266" s="33" t="s">
        <v>622</v>
      </c>
      <c r="N266" s="34" t="s">
        <v>623</v>
      </c>
      <c r="O266" s="27">
        <v>160314</v>
      </c>
      <c r="P266" s="35">
        <v>5.0232864770150674E-2</v>
      </c>
      <c r="Q266" s="28" t="s">
        <v>100</v>
      </c>
      <c r="R266" s="5">
        <v>-0.2</v>
      </c>
    </row>
    <row r="267" spans="12:18" x14ac:dyDescent="0.4">
      <c r="L267" s="33">
        <v>263</v>
      </c>
      <c r="M267" s="33" t="s">
        <v>624</v>
      </c>
      <c r="N267" s="34" t="s">
        <v>625</v>
      </c>
      <c r="O267" s="27">
        <v>193385</v>
      </c>
      <c r="P267" s="35">
        <v>6.0595347590201659E-2</v>
      </c>
      <c r="Q267" s="28" t="s">
        <v>100</v>
      </c>
      <c r="R267" s="5">
        <v>-0.2</v>
      </c>
    </row>
    <row r="268" spans="12:18" x14ac:dyDescent="0.4">
      <c r="L268" s="33">
        <v>264</v>
      </c>
      <c r="M268" s="33" t="s">
        <v>626</v>
      </c>
      <c r="N268" s="34" t="s">
        <v>627</v>
      </c>
      <c r="O268" s="27">
        <v>158951</v>
      </c>
      <c r="P268" s="35">
        <v>4.980578170390746E-2</v>
      </c>
      <c r="Q268" s="28" t="s">
        <v>100</v>
      </c>
      <c r="R268" s="5">
        <v>-0.2</v>
      </c>
    </row>
    <row r="269" spans="12:18" x14ac:dyDescent="0.4">
      <c r="L269" s="33">
        <v>265</v>
      </c>
      <c r="M269" s="33" t="s">
        <v>628</v>
      </c>
      <c r="N269" s="34" t="s">
        <v>629</v>
      </c>
      <c r="O269" s="27">
        <v>165932</v>
      </c>
      <c r="P269" s="35">
        <v>5.1993211553829626E-2</v>
      </c>
      <c r="Q269" s="28" t="s">
        <v>100</v>
      </c>
      <c r="R269" s="5">
        <v>-0.2</v>
      </c>
    </row>
    <row r="270" spans="12:18" x14ac:dyDescent="0.4">
      <c r="L270" s="33">
        <v>266</v>
      </c>
      <c r="M270" s="33" t="s">
        <v>630</v>
      </c>
      <c r="N270" s="34" t="s">
        <v>631</v>
      </c>
      <c r="O270" s="27">
        <v>161058</v>
      </c>
      <c r="P270" s="35">
        <v>5.0465990082905594E-2</v>
      </c>
      <c r="Q270" s="28" t="s">
        <v>100</v>
      </c>
      <c r="R270" s="5">
        <v>-0.2</v>
      </c>
    </row>
    <row r="271" spans="12:18" x14ac:dyDescent="0.4">
      <c r="L271" s="33">
        <v>267</v>
      </c>
      <c r="M271" s="33" t="s">
        <v>632</v>
      </c>
      <c r="N271" s="34" t="s">
        <v>633</v>
      </c>
      <c r="O271" s="27">
        <v>159144</v>
      </c>
      <c r="P271" s="35">
        <v>4.9866256415415117E-2</v>
      </c>
      <c r="Q271" s="28" t="s">
        <v>100</v>
      </c>
      <c r="R271" s="5">
        <v>-0.2</v>
      </c>
    </row>
    <row r="272" spans="12:18" x14ac:dyDescent="0.4">
      <c r="L272" s="33">
        <v>268</v>
      </c>
      <c r="M272" s="33" t="s">
        <v>634</v>
      </c>
      <c r="N272" s="34" t="s">
        <v>635</v>
      </c>
      <c r="O272" s="27">
        <v>156917</v>
      </c>
      <c r="P272" s="35">
        <v>4.9168447179521027E-2</v>
      </c>
      <c r="Q272" s="28" t="s">
        <v>100</v>
      </c>
      <c r="R272" s="5">
        <v>-0.2</v>
      </c>
    </row>
    <row r="273" spans="12:18" x14ac:dyDescent="0.4">
      <c r="L273" s="33">
        <v>269</v>
      </c>
      <c r="M273" s="33" t="s">
        <v>636</v>
      </c>
      <c r="N273" s="34" t="s">
        <v>637</v>
      </c>
      <c r="O273" s="27">
        <v>156160</v>
      </c>
      <c r="P273" s="35">
        <v>4.8931248440602378E-2</v>
      </c>
      <c r="Q273" s="28" t="s">
        <v>100</v>
      </c>
      <c r="R273" s="5">
        <v>-0.2</v>
      </c>
    </row>
    <row r="274" spans="12:18" x14ac:dyDescent="0.4">
      <c r="L274" s="33">
        <v>270</v>
      </c>
      <c r="M274" s="33" t="s">
        <v>638</v>
      </c>
      <c r="N274" s="34" t="s">
        <v>639</v>
      </c>
      <c r="O274" s="27">
        <v>155274</v>
      </c>
      <c r="P274" s="35">
        <v>4.8653628780520583E-2</v>
      </c>
      <c r="Q274" s="28" t="s">
        <v>100</v>
      </c>
      <c r="R274" s="5">
        <v>-0.2</v>
      </c>
    </row>
    <row r="275" spans="12:18" x14ac:dyDescent="0.4">
      <c r="L275" s="33">
        <v>271</v>
      </c>
      <c r="M275" s="33" t="s">
        <v>640</v>
      </c>
      <c r="N275" s="34" t="s">
        <v>641</v>
      </c>
      <c r="O275" s="27">
        <v>150058</v>
      </c>
      <c r="P275" s="35">
        <v>4.7019244867443084E-2</v>
      </c>
      <c r="Q275" s="28" t="s">
        <v>100</v>
      </c>
      <c r="R275" s="5">
        <v>-0.2</v>
      </c>
    </row>
    <row r="276" spans="12:18" x14ac:dyDescent="0.4">
      <c r="L276" s="33">
        <v>272</v>
      </c>
      <c r="M276" s="33" t="s">
        <v>642</v>
      </c>
      <c r="N276" s="34" t="s">
        <v>643</v>
      </c>
      <c r="O276" s="27">
        <v>161066</v>
      </c>
      <c r="P276" s="35">
        <v>5.0468496806698661E-2</v>
      </c>
      <c r="Q276" s="28" t="s">
        <v>100</v>
      </c>
      <c r="R276" s="5">
        <v>-0.2</v>
      </c>
    </row>
    <row r="277" spans="12:18" x14ac:dyDescent="0.4">
      <c r="L277" s="33">
        <v>273</v>
      </c>
      <c r="M277" s="33" t="s">
        <v>644</v>
      </c>
      <c r="N277" s="34" t="s">
        <v>645</v>
      </c>
      <c r="O277" s="27">
        <v>151637</v>
      </c>
      <c r="P277" s="35">
        <v>4.7514009476099017E-2</v>
      </c>
      <c r="Q277" s="28" t="s">
        <v>100</v>
      </c>
      <c r="R277" s="5">
        <v>-0.2</v>
      </c>
    </row>
    <row r="278" spans="12:18" x14ac:dyDescent="0.4">
      <c r="L278" s="33">
        <v>274</v>
      </c>
      <c r="M278" s="33" t="s">
        <v>646</v>
      </c>
      <c r="N278" s="34" t="s">
        <v>647</v>
      </c>
      <c r="O278" s="27">
        <v>152462</v>
      </c>
      <c r="P278" s="35">
        <v>4.7772515367258711E-2</v>
      </c>
      <c r="Q278" s="28" t="s">
        <v>100</v>
      </c>
      <c r="R278" s="5">
        <v>-0.2</v>
      </c>
    </row>
    <row r="279" spans="12:18" x14ac:dyDescent="0.4">
      <c r="L279" s="33">
        <v>275</v>
      </c>
      <c r="M279" s="33" t="s">
        <v>648</v>
      </c>
      <c r="N279" s="34" t="s">
        <v>649</v>
      </c>
      <c r="O279" s="27">
        <v>146175</v>
      </c>
      <c r="P279" s="35">
        <v>4.5802543806384814E-2</v>
      </c>
      <c r="Q279" s="28" t="s">
        <v>100</v>
      </c>
      <c r="R279" s="5">
        <v>-0.2</v>
      </c>
    </row>
    <row r="280" spans="12:18" x14ac:dyDescent="0.4">
      <c r="L280" s="33">
        <v>276</v>
      </c>
      <c r="M280" s="33" t="s">
        <v>650</v>
      </c>
      <c r="N280" s="34" t="s">
        <v>651</v>
      </c>
      <c r="O280" s="27">
        <v>187161</v>
      </c>
      <c r="P280" s="35">
        <v>5.8645116479198144E-2</v>
      </c>
      <c r="Q280" s="28" t="s">
        <v>100</v>
      </c>
      <c r="R280" s="5">
        <v>-0.2</v>
      </c>
    </row>
    <row r="281" spans="12:18" x14ac:dyDescent="0.4">
      <c r="L281" s="33">
        <v>277</v>
      </c>
      <c r="M281" s="33" t="s">
        <v>652</v>
      </c>
      <c r="N281" s="34" t="s">
        <v>653</v>
      </c>
      <c r="O281" s="27">
        <v>147658</v>
      </c>
      <c r="P281" s="35">
        <v>4.6267227729523991E-2</v>
      </c>
      <c r="Q281" s="28" t="s">
        <v>100</v>
      </c>
      <c r="R281" s="5">
        <v>-0.2</v>
      </c>
    </row>
    <row r="282" spans="12:18" x14ac:dyDescent="0.4">
      <c r="L282" s="33">
        <v>278</v>
      </c>
      <c r="M282" s="33" t="s">
        <v>654</v>
      </c>
      <c r="N282" s="34" t="s">
        <v>655</v>
      </c>
      <c r="O282" s="27">
        <v>143588</v>
      </c>
      <c r="P282" s="35">
        <v>4.4991931999802857E-2</v>
      </c>
      <c r="Q282" s="28" t="s">
        <v>100</v>
      </c>
      <c r="R282" s="5">
        <v>-0.2</v>
      </c>
    </row>
    <row r="283" spans="12:18" x14ac:dyDescent="0.4">
      <c r="L283" s="33">
        <v>279</v>
      </c>
      <c r="M283" s="33" t="s">
        <v>656</v>
      </c>
      <c r="N283" s="34" t="s">
        <v>657</v>
      </c>
      <c r="O283" s="27">
        <v>144983</v>
      </c>
      <c r="P283" s="35">
        <v>4.542904196121833E-2</v>
      </c>
      <c r="Q283" s="28" t="s">
        <v>100</v>
      </c>
      <c r="R283" s="5">
        <v>-0.2</v>
      </c>
    </row>
    <row r="284" spans="12:18" x14ac:dyDescent="0.4">
      <c r="L284" s="33">
        <v>280</v>
      </c>
      <c r="M284" s="33" t="s">
        <v>658</v>
      </c>
      <c r="N284" s="34" t="s">
        <v>659</v>
      </c>
      <c r="O284" s="27">
        <v>143875</v>
      </c>
      <c r="P284" s="35">
        <v>4.5081860715879017E-2</v>
      </c>
      <c r="Q284" s="28" t="s">
        <v>100</v>
      </c>
      <c r="R284" s="5">
        <v>-0.2</v>
      </c>
    </row>
    <row r="285" spans="12:18" x14ac:dyDescent="0.4">
      <c r="L285" s="33">
        <v>281</v>
      </c>
      <c r="M285" s="33" t="s">
        <v>660</v>
      </c>
      <c r="N285" s="34" t="s">
        <v>661</v>
      </c>
      <c r="O285" s="27">
        <v>144857</v>
      </c>
      <c r="P285" s="35">
        <v>4.5389561061477582E-2</v>
      </c>
      <c r="Q285" s="28" t="s">
        <v>100</v>
      </c>
      <c r="R285" s="5">
        <v>-0.2</v>
      </c>
    </row>
    <row r="286" spans="12:18" x14ac:dyDescent="0.4">
      <c r="L286" s="33">
        <v>282</v>
      </c>
      <c r="M286" s="33" t="s">
        <v>662</v>
      </c>
      <c r="N286" s="34" t="s">
        <v>663</v>
      </c>
      <c r="O286" s="27">
        <v>143526</v>
      </c>
      <c r="P286" s="35">
        <v>4.4972504890406613E-2</v>
      </c>
      <c r="Q286" s="28" t="s">
        <v>100</v>
      </c>
      <c r="R286" s="5">
        <v>-0.2</v>
      </c>
    </row>
    <row r="287" spans="12:18" x14ac:dyDescent="0.4">
      <c r="L287" s="33">
        <v>283</v>
      </c>
      <c r="M287" s="33" t="s">
        <v>664</v>
      </c>
      <c r="N287" s="34" t="s">
        <v>665</v>
      </c>
      <c r="O287" s="27">
        <v>186911</v>
      </c>
      <c r="P287" s="35">
        <v>5.8566781360664906E-2</v>
      </c>
      <c r="Q287" s="28" t="s">
        <v>100</v>
      </c>
      <c r="R287" s="5">
        <v>-0.2</v>
      </c>
    </row>
    <row r="288" spans="12:18" x14ac:dyDescent="0.4">
      <c r="L288" s="33">
        <v>284</v>
      </c>
      <c r="M288" s="33" t="s">
        <v>666</v>
      </c>
      <c r="N288" s="34" t="s">
        <v>667</v>
      </c>
      <c r="O288" s="27">
        <v>142124</v>
      </c>
      <c r="P288" s="35">
        <v>4.453320154567221E-2</v>
      </c>
      <c r="Q288" s="28" t="s">
        <v>100</v>
      </c>
      <c r="R288" s="5">
        <v>-0.2</v>
      </c>
    </row>
    <row r="289" spans="12:18" x14ac:dyDescent="0.4">
      <c r="L289" s="33">
        <v>285</v>
      </c>
      <c r="M289" s="33" t="s">
        <v>668</v>
      </c>
      <c r="N289" s="34" t="s">
        <v>669</v>
      </c>
      <c r="O289" s="27">
        <v>140273</v>
      </c>
      <c r="P289" s="35">
        <v>4.3953208328052107E-2</v>
      </c>
      <c r="Q289" s="28" t="s">
        <v>100</v>
      </c>
      <c r="R289" s="5">
        <v>-0.2</v>
      </c>
    </row>
    <row r="290" spans="12:18" x14ac:dyDescent="0.4">
      <c r="L290" s="33">
        <v>286</v>
      </c>
      <c r="M290" s="33" t="s">
        <v>670</v>
      </c>
      <c r="N290" s="34" t="s">
        <v>671</v>
      </c>
      <c r="O290" s="27">
        <v>137652</v>
      </c>
      <c r="P290" s="35">
        <v>4.3131942945349631E-2</v>
      </c>
      <c r="Q290" s="28" t="s">
        <v>100</v>
      </c>
      <c r="R290" s="5">
        <v>-0.2</v>
      </c>
    </row>
    <row r="291" spans="12:18" x14ac:dyDescent="0.4">
      <c r="L291" s="33">
        <v>287</v>
      </c>
      <c r="M291" s="33" t="s">
        <v>672</v>
      </c>
      <c r="N291" s="34" t="s">
        <v>673</v>
      </c>
      <c r="O291" s="27">
        <v>136702</v>
      </c>
      <c r="P291" s="35">
        <v>4.2834269494923326E-2</v>
      </c>
      <c r="Q291" s="28" t="s">
        <v>100</v>
      </c>
      <c r="R291" s="5">
        <v>-0.2</v>
      </c>
    </row>
    <row r="292" spans="12:18" x14ac:dyDescent="0.4">
      <c r="L292" s="33">
        <v>288</v>
      </c>
      <c r="M292" s="33" t="s">
        <v>674</v>
      </c>
      <c r="N292" s="34" t="s">
        <v>675</v>
      </c>
      <c r="O292" s="27">
        <v>134209</v>
      </c>
      <c r="P292" s="35">
        <v>4.2053111692909866E-2</v>
      </c>
      <c r="Q292" s="28" t="s">
        <v>100</v>
      </c>
      <c r="R292" s="5">
        <v>-0.2</v>
      </c>
    </row>
    <row r="293" spans="12:18" x14ac:dyDescent="0.4">
      <c r="L293" s="33">
        <v>289</v>
      </c>
      <c r="M293" s="33" t="s">
        <v>676</v>
      </c>
      <c r="N293" s="34" t="s">
        <v>677</v>
      </c>
      <c r="O293" s="27">
        <v>134166</v>
      </c>
      <c r="P293" s="35">
        <v>4.2039638052522151E-2</v>
      </c>
      <c r="Q293" s="28" t="s">
        <v>100</v>
      </c>
      <c r="R293" s="5">
        <v>-0.2</v>
      </c>
    </row>
    <row r="294" spans="12:18" x14ac:dyDescent="0.4">
      <c r="L294" s="33">
        <v>290</v>
      </c>
      <c r="M294" s="33" t="s">
        <v>678</v>
      </c>
      <c r="N294" s="34" t="s">
        <v>679</v>
      </c>
      <c r="O294" s="27">
        <v>137777</v>
      </c>
      <c r="P294" s="35">
        <v>4.317111050461625E-2</v>
      </c>
      <c r="Q294" s="28" t="s">
        <v>100</v>
      </c>
      <c r="R294" s="5">
        <v>-0.2</v>
      </c>
    </row>
    <row r="295" spans="12:18" x14ac:dyDescent="0.4">
      <c r="L295" s="33">
        <v>291</v>
      </c>
      <c r="M295" s="33" t="s">
        <v>680</v>
      </c>
      <c r="N295" s="34" t="s">
        <v>681</v>
      </c>
      <c r="O295" s="27">
        <v>165576</v>
      </c>
      <c r="P295" s="35">
        <v>5.1881662345038292E-2</v>
      </c>
      <c r="Q295" s="28" t="s">
        <v>100</v>
      </c>
      <c r="R295" s="5">
        <v>-0.2</v>
      </c>
    </row>
    <row r="296" spans="12:18" x14ac:dyDescent="0.4">
      <c r="L296" s="33">
        <v>292</v>
      </c>
      <c r="M296" s="33" t="s">
        <v>682</v>
      </c>
      <c r="N296" s="34" t="s">
        <v>683</v>
      </c>
      <c r="O296" s="27">
        <v>131636</v>
      </c>
      <c r="P296" s="35">
        <v>4.1246886652965768E-2</v>
      </c>
      <c r="Q296" s="28" t="s">
        <v>100</v>
      </c>
      <c r="R296" s="5">
        <v>-0.2</v>
      </c>
    </row>
    <row r="297" spans="12:18" x14ac:dyDescent="0.4">
      <c r="L297" s="33">
        <v>293</v>
      </c>
      <c r="M297" s="33" t="s">
        <v>684</v>
      </c>
      <c r="N297" s="34" t="s">
        <v>685</v>
      </c>
      <c r="O297" s="27">
        <v>135204</v>
      </c>
      <c r="P297" s="35">
        <v>4.236488546467216E-2</v>
      </c>
      <c r="Q297" s="28" t="s">
        <v>100</v>
      </c>
      <c r="R297" s="5">
        <v>-0.2</v>
      </c>
    </row>
    <row r="298" spans="12:18" x14ac:dyDescent="0.4">
      <c r="L298" s="33">
        <v>294</v>
      </c>
      <c r="M298" s="33" t="s">
        <v>686</v>
      </c>
      <c r="N298" s="34" t="s">
        <v>687</v>
      </c>
      <c r="O298" s="27">
        <v>128473</v>
      </c>
      <c r="P298" s="35">
        <v>4.0255790733283232E-2</v>
      </c>
      <c r="Q298" s="28" t="s">
        <v>100</v>
      </c>
      <c r="R298" s="5">
        <v>-0.2</v>
      </c>
    </row>
    <row r="299" spans="12:18" x14ac:dyDescent="0.4">
      <c r="L299" s="33">
        <v>295</v>
      </c>
      <c r="M299" s="33" t="s">
        <v>688</v>
      </c>
      <c r="N299" s="34" t="s">
        <v>689</v>
      </c>
      <c r="O299" s="27">
        <v>127868</v>
      </c>
      <c r="P299" s="35">
        <v>4.0066219746432791E-2</v>
      </c>
      <c r="Q299" s="28" t="s">
        <v>100</v>
      </c>
      <c r="R299" s="5">
        <v>-0.2</v>
      </c>
    </row>
    <row r="300" spans="12:18" x14ac:dyDescent="0.4">
      <c r="L300" s="33">
        <v>296</v>
      </c>
      <c r="M300" s="33" t="s">
        <v>690</v>
      </c>
      <c r="N300" s="34" t="s">
        <v>691</v>
      </c>
      <c r="O300" s="27">
        <v>140156</v>
      </c>
      <c r="P300" s="35">
        <v>4.3916547492578555E-2</v>
      </c>
      <c r="Q300" s="28" t="s">
        <v>100</v>
      </c>
      <c r="R300" s="5">
        <v>-0.2</v>
      </c>
    </row>
    <row r="301" spans="12:18" x14ac:dyDescent="0.4">
      <c r="L301" s="33">
        <v>297</v>
      </c>
      <c r="M301" s="33" t="s">
        <v>692</v>
      </c>
      <c r="N301" s="34" t="s">
        <v>693</v>
      </c>
      <c r="O301" s="27">
        <v>130724</v>
      </c>
      <c r="P301" s="35">
        <v>4.0961120140556515E-2</v>
      </c>
      <c r="Q301" s="28" t="s">
        <v>100</v>
      </c>
      <c r="R301" s="5">
        <v>-0.2</v>
      </c>
    </row>
    <row r="302" spans="12:18" x14ac:dyDescent="0.4">
      <c r="L302" s="33">
        <v>298</v>
      </c>
      <c r="M302" s="33" t="s">
        <v>694</v>
      </c>
      <c r="N302" s="34" t="s">
        <v>695</v>
      </c>
      <c r="O302" s="27">
        <v>131691</v>
      </c>
      <c r="P302" s="35">
        <v>4.1264120379043083E-2</v>
      </c>
      <c r="Q302" s="28" t="s">
        <v>100</v>
      </c>
      <c r="R302" s="5">
        <v>-0.2</v>
      </c>
    </row>
    <row r="303" spans="12:18" x14ac:dyDescent="0.4">
      <c r="L303" s="33">
        <v>299</v>
      </c>
      <c r="M303" s="33" t="s">
        <v>696</v>
      </c>
      <c r="N303" s="34" t="s">
        <v>697</v>
      </c>
      <c r="O303" s="27">
        <v>124819</v>
      </c>
      <c r="P303" s="35">
        <v>3.9110844640801411E-2</v>
      </c>
      <c r="Q303" s="28" t="s">
        <v>100</v>
      </c>
      <c r="R303" s="5">
        <v>-0.2</v>
      </c>
    </row>
    <row r="304" spans="12:18" x14ac:dyDescent="0.4">
      <c r="L304" s="33">
        <v>300</v>
      </c>
      <c r="M304" s="33" t="s">
        <v>698</v>
      </c>
      <c r="N304" s="34" t="s">
        <v>699</v>
      </c>
      <c r="O304" s="27">
        <v>126885</v>
      </c>
      <c r="P304" s="35">
        <v>3.9758206060360096E-2</v>
      </c>
      <c r="Q304" s="28" t="s">
        <v>100</v>
      </c>
      <c r="R304" s="5">
        <v>-0.2</v>
      </c>
    </row>
    <row r="305" spans="12:18" x14ac:dyDescent="0.4">
      <c r="L305" s="33">
        <v>301</v>
      </c>
      <c r="M305" s="33" t="s">
        <v>700</v>
      </c>
      <c r="N305" s="34" t="s">
        <v>48</v>
      </c>
      <c r="O305" s="27">
        <v>123169</v>
      </c>
      <c r="P305" s="35">
        <v>3.8593832858482037E-2</v>
      </c>
      <c r="Q305" s="28" t="s">
        <v>100</v>
      </c>
      <c r="R305" s="5">
        <v>-0.2</v>
      </c>
    </row>
    <row r="306" spans="12:18" x14ac:dyDescent="0.4">
      <c r="L306" s="33">
        <v>302</v>
      </c>
      <c r="M306" s="33" t="s">
        <v>701</v>
      </c>
      <c r="N306" s="34" t="s">
        <v>702</v>
      </c>
      <c r="O306" s="27">
        <v>121108</v>
      </c>
      <c r="P306" s="35">
        <v>3.7948038141294015E-2</v>
      </c>
      <c r="Q306" s="28" t="s">
        <v>100</v>
      </c>
      <c r="R306" s="5">
        <v>-0.2</v>
      </c>
    </row>
    <row r="307" spans="12:18" x14ac:dyDescent="0.4">
      <c r="L307" s="33">
        <v>303</v>
      </c>
      <c r="M307" s="33" t="s">
        <v>703</v>
      </c>
      <c r="N307" s="34" t="s">
        <v>704</v>
      </c>
      <c r="O307" s="27">
        <v>120642</v>
      </c>
      <c r="P307" s="35">
        <v>3.7802021480348058E-2</v>
      </c>
      <c r="Q307" s="28" t="s">
        <v>100</v>
      </c>
      <c r="R307" s="5">
        <v>-0.2</v>
      </c>
    </row>
    <row r="308" spans="12:18" x14ac:dyDescent="0.4">
      <c r="L308" s="33">
        <v>304</v>
      </c>
      <c r="M308" s="33" t="s">
        <v>705</v>
      </c>
      <c r="N308" s="34" t="s">
        <v>706</v>
      </c>
      <c r="O308" s="27">
        <v>121941</v>
      </c>
      <c r="P308" s="35">
        <v>3.8209050756246761E-2</v>
      </c>
      <c r="Q308" s="28" t="s">
        <v>100</v>
      </c>
      <c r="R308" s="5">
        <v>-0.2</v>
      </c>
    </row>
    <row r="309" spans="12:18" x14ac:dyDescent="0.4">
      <c r="L309" s="33">
        <v>305</v>
      </c>
      <c r="M309" s="33" t="s">
        <v>707</v>
      </c>
      <c r="N309" s="34" t="s">
        <v>708</v>
      </c>
      <c r="O309" s="27">
        <v>129433</v>
      </c>
      <c r="P309" s="35">
        <v>4.0556597588450871E-2</v>
      </c>
      <c r="Q309" s="28" t="s">
        <v>100</v>
      </c>
      <c r="R309" s="5">
        <v>-0.2</v>
      </c>
    </row>
    <row r="310" spans="12:18" x14ac:dyDescent="0.4">
      <c r="L310" s="33">
        <v>306</v>
      </c>
      <c r="M310" s="33" t="s">
        <v>709</v>
      </c>
      <c r="N310" s="34" t="s">
        <v>710</v>
      </c>
      <c r="O310" s="27">
        <v>120920</v>
      </c>
      <c r="P310" s="35">
        <v>3.7889130132157015E-2</v>
      </c>
      <c r="Q310" s="28" t="s">
        <v>100</v>
      </c>
      <c r="R310" s="5">
        <v>-0.2</v>
      </c>
    </row>
    <row r="311" spans="12:18" x14ac:dyDescent="0.4">
      <c r="L311" s="33">
        <v>307</v>
      </c>
      <c r="M311" s="33" t="s">
        <v>711</v>
      </c>
      <c r="N311" s="34" t="s">
        <v>712</v>
      </c>
      <c r="O311" s="27">
        <v>121462</v>
      </c>
      <c r="P311" s="35">
        <v>3.8058960669137082E-2</v>
      </c>
      <c r="Q311" s="28" t="s">
        <v>100</v>
      </c>
      <c r="R311" s="5">
        <v>-0.2</v>
      </c>
    </row>
    <row r="312" spans="12:18" x14ac:dyDescent="0.4">
      <c r="L312" s="33">
        <v>308</v>
      </c>
      <c r="M312" s="33" t="s">
        <v>713</v>
      </c>
      <c r="N312" s="34" t="s">
        <v>42</v>
      </c>
      <c r="O312" s="27">
        <v>143208</v>
      </c>
      <c r="P312" s="35">
        <v>4.4872862619632338E-2</v>
      </c>
      <c r="Q312" s="28" t="s">
        <v>100</v>
      </c>
      <c r="R312" s="5">
        <v>-0.2</v>
      </c>
    </row>
    <row r="313" spans="12:18" x14ac:dyDescent="0.4">
      <c r="L313" s="33">
        <v>309</v>
      </c>
      <c r="M313" s="33" t="s">
        <v>714</v>
      </c>
      <c r="N313" s="34" t="s">
        <v>715</v>
      </c>
      <c r="O313" s="27">
        <v>117540</v>
      </c>
      <c r="P313" s="35">
        <v>3.6830039329587623E-2</v>
      </c>
      <c r="Q313" s="28" t="s">
        <v>100</v>
      </c>
      <c r="R313" s="5">
        <v>-0.2</v>
      </c>
    </row>
    <row r="314" spans="12:18" x14ac:dyDescent="0.4">
      <c r="L314" s="33">
        <v>310</v>
      </c>
      <c r="M314" s="33" t="s">
        <v>716</v>
      </c>
      <c r="N314" s="34" t="s">
        <v>717</v>
      </c>
      <c r="O314" s="27">
        <v>119398</v>
      </c>
      <c r="P314" s="35">
        <v>3.7412225930526656E-2</v>
      </c>
      <c r="Q314" s="28" t="s">
        <v>100</v>
      </c>
      <c r="R314" s="5">
        <v>-0.2</v>
      </c>
    </row>
    <row r="315" spans="12:18" x14ac:dyDescent="0.4">
      <c r="L315" s="33">
        <v>311</v>
      </c>
      <c r="M315" s="33" t="s">
        <v>718</v>
      </c>
      <c r="N315" s="34" t="s">
        <v>719</v>
      </c>
      <c r="O315" s="27">
        <v>115924</v>
      </c>
      <c r="P315" s="35">
        <v>3.6323681123388768E-2</v>
      </c>
      <c r="Q315" s="28" t="s">
        <v>100</v>
      </c>
      <c r="R315" s="5">
        <v>-0.2</v>
      </c>
    </row>
    <row r="316" spans="12:18" x14ac:dyDescent="0.4">
      <c r="L316" s="33">
        <v>312</v>
      </c>
      <c r="M316" s="33" t="s">
        <v>720</v>
      </c>
      <c r="N316" s="34" t="s">
        <v>721</v>
      </c>
      <c r="O316" s="27">
        <v>162202</v>
      </c>
      <c r="P316" s="35">
        <v>5.08244515853137E-2</v>
      </c>
      <c r="Q316" s="28" t="s">
        <v>100</v>
      </c>
      <c r="R316" s="5">
        <v>-0.2</v>
      </c>
    </row>
    <row r="317" spans="12:18" x14ac:dyDescent="0.4">
      <c r="L317" s="33">
        <v>313</v>
      </c>
      <c r="M317" s="33" t="s">
        <v>722</v>
      </c>
      <c r="N317" s="34" t="s">
        <v>723</v>
      </c>
      <c r="O317" s="27">
        <v>113215</v>
      </c>
      <c r="P317" s="35">
        <v>3.5474841778962589E-2</v>
      </c>
      <c r="Q317" s="28" t="s">
        <v>100</v>
      </c>
      <c r="R317" s="5">
        <v>-0.2</v>
      </c>
    </row>
    <row r="318" spans="12:18" x14ac:dyDescent="0.4">
      <c r="L318" s="33">
        <v>314</v>
      </c>
      <c r="M318" s="33" t="s">
        <v>724</v>
      </c>
      <c r="N318" s="34" t="s">
        <v>725</v>
      </c>
      <c r="O318" s="27">
        <v>115027</v>
      </c>
      <c r="P318" s="35">
        <v>3.604261471809151E-2</v>
      </c>
      <c r="Q318" s="28" t="s">
        <v>100</v>
      </c>
      <c r="R318" s="5">
        <v>-0.2</v>
      </c>
    </row>
    <row r="319" spans="12:18" x14ac:dyDescent="0.4">
      <c r="L319" s="33">
        <v>315</v>
      </c>
      <c r="M319" s="33" t="s">
        <v>726</v>
      </c>
      <c r="N319" s="34" t="s">
        <v>727</v>
      </c>
      <c r="O319" s="27">
        <v>109959</v>
      </c>
      <c r="P319" s="35">
        <v>3.4454605195185686E-2</v>
      </c>
      <c r="Q319" s="28" t="s">
        <v>100</v>
      </c>
      <c r="R319" s="5">
        <v>-0.2</v>
      </c>
    </row>
    <row r="320" spans="12:18" x14ac:dyDescent="0.4">
      <c r="L320" s="33">
        <v>316</v>
      </c>
      <c r="M320" s="33" t="s">
        <v>728</v>
      </c>
      <c r="N320" s="34" t="s">
        <v>729</v>
      </c>
      <c r="O320" s="27">
        <v>115259</v>
      </c>
      <c r="P320" s="35">
        <v>3.6115309708090355E-2</v>
      </c>
      <c r="Q320" s="28" t="s">
        <v>100</v>
      </c>
      <c r="R320" s="5">
        <v>-0.2</v>
      </c>
    </row>
    <row r="321" spans="12:18" x14ac:dyDescent="0.4">
      <c r="L321" s="33">
        <v>317</v>
      </c>
      <c r="M321" s="33" t="s">
        <v>730</v>
      </c>
      <c r="N321" s="34" t="s">
        <v>731</v>
      </c>
      <c r="O321" s="27">
        <v>111295</v>
      </c>
      <c r="P321" s="35">
        <v>3.4873228068627318E-2</v>
      </c>
      <c r="Q321" s="28" t="s">
        <v>100</v>
      </c>
      <c r="R321" s="5">
        <v>-0.2</v>
      </c>
    </row>
    <row r="322" spans="12:18" x14ac:dyDescent="0.4">
      <c r="L322" s="33">
        <v>318</v>
      </c>
      <c r="M322" s="33" t="s">
        <v>732</v>
      </c>
      <c r="N322" s="34" t="s">
        <v>733</v>
      </c>
      <c r="O322" s="27">
        <v>112543</v>
      </c>
      <c r="P322" s="35">
        <v>3.5264276980345247E-2</v>
      </c>
      <c r="Q322" s="28" t="s">
        <v>100</v>
      </c>
      <c r="R322" s="5">
        <v>-0.2</v>
      </c>
    </row>
    <row r="323" spans="12:18" x14ac:dyDescent="0.4">
      <c r="L323" s="33">
        <v>319</v>
      </c>
      <c r="M323" s="33" t="s">
        <v>734</v>
      </c>
      <c r="N323" s="34" t="s">
        <v>735</v>
      </c>
      <c r="O323" s="27">
        <v>107673</v>
      </c>
      <c r="P323" s="35">
        <v>3.3738308871317749E-2</v>
      </c>
      <c r="Q323" s="28" t="s">
        <v>100</v>
      </c>
      <c r="R323" s="5">
        <v>-0.2</v>
      </c>
    </row>
    <row r="324" spans="12:18" x14ac:dyDescent="0.4">
      <c r="L324" s="33">
        <v>320</v>
      </c>
      <c r="M324" s="33" t="s">
        <v>736</v>
      </c>
      <c r="N324" s="34" t="s">
        <v>737</v>
      </c>
      <c r="O324" s="27">
        <v>110821</v>
      </c>
      <c r="P324" s="35">
        <v>3.4724704683888295E-2</v>
      </c>
      <c r="Q324" s="28" t="s">
        <v>100</v>
      </c>
      <c r="R324" s="5">
        <v>-0.2</v>
      </c>
    </row>
    <row r="325" spans="12:18" x14ac:dyDescent="0.4">
      <c r="L325" s="33">
        <v>321</v>
      </c>
      <c r="M325" s="33" t="s">
        <v>738</v>
      </c>
      <c r="N325" s="34" t="s">
        <v>739</v>
      </c>
      <c r="O325" s="27">
        <v>106976</v>
      </c>
      <c r="P325" s="35">
        <v>3.3519910560847084E-2</v>
      </c>
      <c r="Q325" s="28" t="s">
        <v>100</v>
      </c>
      <c r="R325" s="5">
        <v>-0.2</v>
      </c>
    </row>
    <row r="326" spans="12:18" x14ac:dyDescent="0.4">
      <c r="L326" s="33">
        <v>322</v>
      </c>
      <c r="M326" s="33" t="s">
        <v>740</v>
      </c>
      <c r="N326" s="34" t="s">
        <v>741</v>
      </c>
      <c r="O326" s="27">
        <v>118829</v>
      </c>
      <c r="P326" s="35">
        <v>3.7233935200745007E-2</v>
      </c>
      <c r="Q326" s="28" t="s">
        <v>100</v>
      </c>
      <c r="R326" s="5">
        <v>-0.2</v>
      </c>
    </row>
    <row r="327" spans="12:18" x14ac:dyDescent="0.4">
      <c r="L327" s="33">
        <v>323</v>
      </c>
      <c r="M327" s="33" t="s">
        <v>742</v>
      </c>
      <c r="N327" s="34" t="s">
        <v>743</v>
      </c>
      <c r="O327" s="27">
        <v>105261</v>
      </c>
      <c r="P327" s="35">
        <v>3.2982531647709062E-2</v>
      </c>
      <c r="Q327" s="28" t="s">
        <v>100</v>
      </c>
      <c r="R327" s="5">
        <v>-0.2</v>
      </c>
    </row>
    <row r="328" spans="12:18" x14ac:dyDescent="0.4">
      <c r="L328" s="33">
        <v>324</v>
      </c>
      <c r="M328" s="33" t="s">
        <v>744</v>
      </c>
      <c r="N328" s="34" t="s">
        <v>745</v>
      </c>
      <c r="O328" s="27">
        <v>104430</v>
      </c>
      <c r="P328" s="35">
        <v>3.2722145713704576E-2</v>
      </c>
      <c r="Q328" s="28" t="s">
        <v>100</v>
      </c>
      <c r="R328" s="5">
        <v>-0.2</v>
      </c>
    </row>
    <row r="329" spans="12:18" x14ac:dyDescent="0.4">
      <c r="L329" s="33">
        <v>325</v>
      </c>
      <c r="M329" s="33" t="s">
        <v>746</v>
      </c>
      <c r="N329" s="34" t="s">
        <v>747</v>
      </c>
      <c r="O329" s="27">
        <v>104191</v>
      </c>
      <c r="P329" s="35">
        <v>3.2647257340386801E-2</v>
      </c>
      <c r="Q329" s="28" t="s">
        <v>100</v>
      </c>
      <c r="R329" s="5">
        <v>-0.2</v>
      </c>
    </row>
    <row r="330" spans="12:18" x14ac:dyDescent="0.4">
      <c r="L330" s="33">
        <v>326</v>
      </c>
      <c r="M330" s="33" t="s">
        <v>748</v>
      </c>
      <c r="N330" s="34" t="s">
        <v>749</v>
      </c>
      <c r="O330" s="27">
        <v>107464</v>
      </c>
      <c r="P330" s="35">
        <v>3.3672820712223966E-2</v>
      </c>
      <c r="Q330" s="28" t="s">
        <v>100</v>
      </c>
      <c r="R330" s="5">
        <v>-0.2</v>
      </c>
    </row>
    <row r="331" spans="12:18" x14ac:dyDescent="0.4">
      <c r="L331" s="33">
        <v>327</v>
      </c>
      <c r="M331" s="33" t="s">
        <v>750</v>
      </c>
      <c r="N331" s="34" t="s">
        <v>751</v>
      </c>
      <c r="O331" s="27">
        <v>103191</v>
      </c>
      <c r="P331" s="35">
        <v>3.2333916866253844E-2</v>
      </c>
      <c r="Q331" s="28" t="s">
        <v>100</v>
      </c>
      <c r="R331" s="5">
        <v>-0.2</v>
      </c>
    </row>
    <row r="332" spans="12:18" x14ac:dyDescent="0.4">
      <c r="L332" s="33">
        <v>328</v>
      </c>
      <c r="M332" s="33" t="s">
        <v>752</v>
      </c>
      <c r="N332" s="34" t="s">
        <v>753</v>
      </c>
      <c r="O332" s="27">
        <v>101287</v>
      </c>
      <c r="P332" s="35">
        <v>3.1737316603504692E-2</v>
      </c>
      <c r="Q332" s="28" t="s">
        <v>100</v>
      </c>
      <c r="R332" s="5">
        <v>-0.2</v>
      </c>
    </row>
    <row r="333" spans="12:18" x14ac:dyDescent="0.4">
      <c r="L333" s="33">
        <v>329</v>
      </c>
      <c r="M333" s="33" t="s">
        <v>754</v>
      </c>
      <c r="N333" s="34" t="s">
        <v>755</v>
      </c>
      <c r="O333" s="27">
        <v>103614</v>
      </c>
      <c r="P333" s="35">
        <v>3.2466459886812085E-2</v>
      </c>
      <c r="Q333" s="28" t="s">
        <v>100</v>
      </c>
      <c r="R333" s="5">
        <v>-0.2</v>
      </c>
    </row>
    <row r="334" spans="12:18" x14ac:dyDescent="0.4">
      <c r="L334" s="33">
        <v>330</v>
      </c>
      <c r="M334" s="33" t="s">
        <v>756</v>
      </c>
      <c r="N334" s="34" t="s">
        <v>757</v>
      </c>
      <c r="O334" s="27">
        <v>99533</v>
      </c>
      <c r="P334" s="35">
        <v>3.1187717411875492E-2</v>
      </c>
      <c r="Q334" s="28" t="s">
        <v>100</v>
      </c>
      <c r="R334" s="5">
        <v>-0.2</v>
      </c>
    </row>
    <row r="335" spans="12:18" x14ac:dyDescent="0.4">
      <c r="L335" s="33">
        <v>331</v>
      </c>
      <c r="M335" s="33" t="s">
        <v>758</v>
      </c>
      <c r="N335" s="34" t="s">
        <v>759</v>
      </c>
      <c r="O335" s="27">
        <v>116830</v>
      </c>
      <c r="P335" s="35">
        <v>3.6607567592953229E-2</v>
      </c>
      <c r="Q335" s="28" t="s">
        <v>100</v>
      </c>
      <c r="R335" s="5">
        <v>-0.2</v>
      </c>
    </row>
    <row r="336" spans="12:18" x14ac:dyDescent="0.4">
      <c r="L336" s="33">
        <v>332</v>
      </c>
      <c r="M336" s="33" t="s">
        <v>760</v>
      </c>
      <c r="N336" s="34" t="s">
        <v>761</v>
      </c>
      <c r="O336" s="27">
        <v>96792</v>
      </c>
      <c r="P336" s="35">
        <v>3.0328851172277058E-2</v>
      </c>
      <c r="Q336" s="28" t="s">
        <v>100</v>
      </c>
      <c r="R336" s="5">
        <v>-0.2</v>
      </c>
    </row>
    <row r="337" spans="12:18" x14ac:dyDescent="0.4">
      <c r="L337" s="33">
        <v>333</v>
      </c>
      <c r="M337" s="33" t="s">
        <v>762</v>
      </c>
      <c r="N337" s="34" t="s">
        <v>763</v>
      </c>
      <c r="O337" s="27">
        <v>96441</v>
      </c>
      <c r="P337" s="35">
        <v>3.021886866585639E-2</v>
      </c>
      <c r="Q337" s="28" t="s">
        <v>100</v>
      </c>
      <c r="R337" s="5">
        <v>-0.2</v>
      </c>
    </row>
    <row r="338" spans="12:18" x14ac:dyDescent="0.4">
      <c r="L338" s="33">
        <v>334</v>
      </c>
      <c r="M338" s="33" t="s">
        <v>764</v>
      </c>
      <c r="N338" s="34" t="s">
        <v>765</v>
      </c>
      <c r="O338" s="27">
        <v>95808</v>
      </c>
      <c r="P338" s="35">
        <v>3.002052414573023E-2</v>
      </c>
      <c r="Q338" s="28" t="s">
        <v>100</v>
      </c>
      <c r="R338" s="5">
        <v>-0.2</v>
      </c>
    </row>
    <row r="339" spans="12:18" x14ac:dyDescent="0.4">
      <c r="L339" s="33">
        <v>335</v>
      </c>
      <c r="M339" s="33" t="s">
        <v>766</v>
      </c>
      <c r="N339" s="34" t="s">
        <v>767</v>
      </c>
      <c r="O339" s="27">
        <v>95613</v>
      </c>
      <c r="P339" s="35">
        <v>2.9959422753274303E-2</v>
      </c>
      <c r="Q339" s="28" t="s">
        <v>100</v>
      </c>
      <c r="R339" s="5">
        <v>-0.2</v>
      </c>
    </row>
    <row r="340" spans="12:18" x14ac:dyDescent="0.4">
      <c r="L340" s="33">
        <v>336</v>
      </c>
      <c r="M340" s="33" t="s">
        <v>768</v>
      </c>
      <c r="N340" s="34" t="s">
        <v>769</v>
      </c>
      <c r="O340" s="27">
        <v>97480</v>
      </c>
      <c r="P340" s="35">
        <v>3.0544429418480533E-2</v>
      </c>
      <c r="Q340" s="28" t="s">
        <v>100</v>
      </c>
      <c r="R340" s="5">
        <v>-0.2</v>
      </c>
    </row>
    <row r="341" spans="12:18" x14ac:dyDescent="0.4">
      <c r="L341" s="33">
        <v>337</v>
      </c>
      <c r="M341" s="33" t="s">
        <v>770</v>
      </c>
      <c r="N341" s="34" t="s">
        <v>771</v>
      </c>
      <c r="O341" s="27">
        <v>101248</v>
      </c>
      <c r="P341" s="35">
        <v>3.172509632501351E-2</v>
      </c>
      <c r="Q341" s="28" t="s">
        <v>100</v>
      </c>
      <c r="R341" s="5">
        <v>-0.2</v>
      </c>
    </row>
    <row r="342" spans="12:18" x14ac:dyDescent="0.4">
      <c r="L342" s="33">
        <v>338</v>
      </c>
      <c r="M342" s="33" t="s">
        <v>772</v>
      </c>
      <c r="N342" s="34" t="s">
        <v>773</v>
      </c>
      <c r="O342" s="27">
        <v>97464</v>
      </c>
      <c r="P342" s="35">
        <v>3.0539415970894403E-2</v>
      </c>
      <c r="Q342" s="28" t="s">
        <v>100</v>
      </c>
      <c r="R342" s="5">
        <v>-0.2</v>
      </c>
    </row>
    <row r="343" spans="12:18" x14ac:dyDescent="0.4">
      <c r="L343" s="33">
        <v>339</v>
      </c>
      <c r="M343" s="33" t="s">
        <v>774</v>
      </c>
      <c r="N343" s="34" t="s">
        <v>775</v>
      </c>
      <c r="O343" s="27">
        <v>108456</v>
      </c>
      <c r="P343" s="35">
        <v>3.3983654462563857E-2</v>
      </c>
      <c r="Q343" s="28" t="s">
        <v>100</v>
      </c>
      <c r="R343" s="5">
        <v>-0.2</v>
      </c>
    </row>
    <row r="344" spans="12:18" x14ac:dyDescent="0.4">
      <c r="L344" s="33">
        <v>340</v>
      </c>
      <c r="M344" s="33" t="s">
        <v>776</v>
      </c>
      <c r="N344" s="34" t="s">
        <v>777</v>
      </c>
      <c r="O344" s="27">
        <v>98238</v>
      </c>
      <c r="P344" s="35">
        <v>3.0781941497873312E-2</v>
      </c>
      <c r="Q344" s="28" t="s">
        <v>100</v>
      </c>
      <c r="R344" s="5">
        <v>-0.2</v>
      </c>
    </row>
    <row r="345" spans="12:18" x14ac:dyDescent="0.4">
      <c r="L345" s="33">
        <v>341</v>
      </c>
      <c r="M345" s="33" t="s">
        <v>778</v>
      </c>
      <c r="N345" s="34" t="s">
        <v>779</v>
      </c>
      <c r="O345" s="27">
        <v>92338</v>
      </c>
      <c r="P345" s="35">
        <v>2.8933232700488875E-2</v>
      </c>
      <c r="Q345" s="28" t="s">
        <v>100</v>
      </c>
      <c r="R345" s="5">
        <v>-0.2</v>
      </c>
    </row>
    <row r="346" spans="12:18" x14ac:dyDescent="0.4">
      <c r="L346" s="33">
        <v>342</v>
      </c>
      <c r="M346" s="33" t="s">
        <v>780</v>
      </c>
      <c r="N346" s="34" t="s">
        <v>781</v>
      </c>
      <c r="O346" s="27">
        <v>96071</v>
      </c>
      <c r="P346" s="35">
        <v>3.0102932690427197E-2</v>
      </c>
      <c r="Q346" s="28" t="s">
        <v>100</v>
      </c>
      <c r="R346" s="5">
        <v>-0.2</v>
      </c>
    </row>
    <row r="347" spans="12:18" x14ac:dyDescent="0.4">
      <c r="L347" s="33">
        <v>343</v>
      </c>
      <c r="M347" s="33" t="s">
        <v>782</v>
      </c>
      <c r="N347" s="34" t="s">
        <v>783</v>
      </c>
      <c r="O347" s="27">
        <v>92228</v>
      </c>
      <c r="P347" s="35">
        <v>2.8898765248334249E-2</v>
      </c>
      <c r="Q347" s="28" t="s">
        <v>100</v>
      </c>
      <c r="R347" s="5">
        <v>-0.2</v>
      </c>
    </row>
    <row r="348" spans="12:18" x14ac:dyDescent="0.4">
      <c r="L348" s="33">
        <v>344</v>
      </c>
      <c r="M348" s="33" t="s">
        <v>784</v>
      </c>
      <c r="N348" s="34" t="s">
        <v>785</v>
      </c>
      <c r="O348" s="27">
        <v>91939</v>
      </c>
      <c r="P348" s="35">
        <v>2.8808209851309823E-2</v>
      </c>
      <c r="Q348" s="28" t="s">
        <v>100</v>
      </c>
      <c r="R348" s="5">
        <v>-0.2</v>
      </c>
    </row>
    <row r="349" spans="12:18" x14ac:dyDescent="0.4">
      <c r="L349" s="33">
        <v>345</v>
      </c>
      <c r="M349" s="33" t="s">
        <v>786</v>
      </c>
      <c r="N349" s="34" t="s">
        <v>787</v>
      </c>
      <c r="O349" s="27">
        <v>91290</v>
      </c>
      <c r="P349" s="35">
        <v>2.8604851883597536E-2</v>
      </c>
      <c r="Q349" s="28" t="s">
        <v>100</v>
      </c>
      <c r="R349" s="5">
        <v>-0.2</v>
      </c>
    </row>
    <row r="350" spans="12:18" x14ac:dyDescent="0.4">
      <c r="L350" s="33">
        <v>346</v>
      </c>
      <c r="M350" s="33" t="s">
        <v>788</v>
      </c>
      <c r="N350" s="34" t="s">
        <v>789</v>
      </c>
      <c r="O350" s="27">
        <v>91806</v>
      </c>
      <c r="P350" s="35">
        <v>2.8766535568250141E-2</v>
      </c>
      <c r="Q350" s="28" t="s">
        <v>100</v>
      </c>
      <c r="R350" s="5">
        <v>-0.2</v>
      </c>
    </row>
    <row r="351" spans="12:18" x14ac:dyDescent="0.4">
      <c r="L351" s="33">
        <v>347</v>
      </c>
      <c r="M351" s="33" t="s">
        <v>790</v>
      </c>
      <c r="N351" s="34" t="s">
        <v>791</v>
      </c>
      <c r="O351" s="27">
        <v>90612</v>
      </c>
      <c r="P351" s="35">
        <v>2.839240704213539E-2</v>
      </c>
      <c r="Q351" s="28" t="s">
        <v>100</v>
      </c>
      <c r="R351" s="5">
        <v>-0.2</v>
      </c>
    </row>
    <row r="352" spans="12:18" x14ac:dyDescent="0.4">
      <c r="L352" s="33">
        <v>348</v>
      </c>
      <c r="M352" s="33" t="s">
        <v>792</v>
      </c>
      <c r="N352" s="34" t="s">
        <v>793</v>
      </c>
      <c r="O352" s="27">
        <v>87591</v>
      </c>
      <c r="P352" s="35">
        <v>2.7445805469779733E-2</v>
      </c>
      <c r="Q352" s="28" t="s">
        <v>100</v>
      </c>
      <c r="R352" s="5">
        <v>-0.2</v>
      </c>
    </row>
    <row r="353" spans="12:18" x14ac:dyDescent="0.4">
      <c r="L353" s="33">
        <v>349</v>
      </c>
      <c r="M353" s="33" t="s">
        <v>794</v>
      </c>
      <c r="N353" s="34" t="s">
        <v>795</v>
      </c>
      <c r="O353" s="27">
        <v>87384</v>
      </c>
      <c r="P353" s="35">
        <v>2.738094399163421E-2</v>
      </c>
      <c r="Q353" s="28" t="s">
        <v>100</v>
      </c>
      <c r="R353" s="5">
        <v>-0.2</v>
      </c>
    </row>
    <row r="354" spans="12:18" x14ac:dyDescent="0.4">
      <c r="L354" s="33">
        <v>350</v>
      </c>
      <c r="M354" s="33" t="s">
        <v>796</v>
      </c>
      <c r="N354" s="34" t="s">
        <v>797</v>
      </c>
      <c r="O354" s="27">
        <v>114077</v>
      </c>
      <c r="P354" s="35">
        <v>3.5744941267665198E-2</v>
      </c>
      <c r="Q354" s="28" t="s">
        <v>100</v>
      </c>
      <c r="R354" s="5">
        <v>-0.2</v>
      </c>
    </row>
    <row r="355" spans="12:18" x14ac:dyDescent="0.4">
      <c r="L355" s="33">
        <v>351</v>
      </c>
      <c r="M355" s="33" t="s">
        <v>798</v>
      </c>
      <c r="N355" s="34" t="s">
        <v>50</v>
      </c>
      <c r="O355" s="27">
        <v>87506</v>
      </c>
      <c r="P355" s="35">
        <v>2.7419171529478432E-2</v>
      </c>
      <c r="Q355" s="28" t="s">
        <v>100</v>
      </c>
      <c r="R355" s="5">
        <v>-0.2</v>
      </c>
    </row>
    <row r="356" spans="12:18" x14ac:dyDescent="0.4">
      <c r="L356" s="33">
        <v>352</v>
      </c>
      <c r="M356" s="33" t="s">
        <v>799</v>
      </c>
      <c r="N356" s="34" t="s">
        <v>800</v>
      </c>
      <c r="O356" s="27">
        <v>89656</v>
      </c>
      <c r="P356" s="35">
        <v>2.8092853548864285E-2</v>
      </c>
      <c r="Q356" s="28" t="s">
        <v>100</v>
      </c>
      <c r="R356" s="5">
        <v>-0.2</v>
      </c>
    </row>
    <row r="357" spans="12:18" x14ac:dyDescent="0.4">
      <c r="L357" s="33">
        <v>353</v>
      </c>
      <c r="M357" s="33" t="s">
        <v>801</v>
      </c>
      <c r="N357" s="34" t="s">
        <v>802</v>
      </c>
      <c r="O357" s="27">
        <v>86354</v>
      </c>
      <c r="P357" s="35">
        <v>2.7058203303277267E-2</v>
      </c>
      <c r="Q357" s="28" t="s">
        <v>100</v>
      </c>
      <c r="R357" s="5">
        <v>-0.2</v>
      </c>
    </row>
    <row r="358" spans="12:18" x14ac:dyDescent="0.4">
      <c r="L358" s="33">
        <v>354</v>
      </c>
      <c r="M358" s="33" t="s">
        <v>803</v>
      </c>
      <c r="N358" s="34" t="s">
        <v>804</v>
      </c>
      <c r="O358" s="27">
        <v>85854</v>
      </c>
      <c r="P358" s="35">
        <v>2.6901533066210789E-2</v>
      </c>
      <c r="Q358" s="28" t="s">
        <v>100</v>
      </c>
      <c r="R358" s="5">
        <v>-0.2</v>
      </c>
    </row>
    <row r="359" spans="12:18" x14ac:dyDescent="0.4">
      <c r="L359" s="33">
        <v>355</v>
      </c>
      <c r="M359" s="33" t="s">
        <v>805</v>
      </c>
      <c r="N359" s="34" t="s">
        <v>806</v>
      </c>
      <c r="O359" s="27">
        <v>85612</v>
      </c>
      <c r="P359" s="35">
        <v>2.6825704671470614E-2</v>
      </c>
      <c r="Q359" s="28" t="s">
        <v>100</v>
      </c>
      <c r="R359" s="5">
        <v>-0.2</v>
      </c>
    </row>
    <row r="360" spans="12:18" x14ac:dyDescent="0.4">
      <c r="L360" s="33">
        <v>356</v>
      </c>
      <c r="M360" s="33" t="s">
        <v>807</v>
      </c>
      <c r="N360" s="34" t="s">
        <v>808</v>
      </c>
      <c r="O360" s="27">
        <v>85311</v>
      </c>
      <c r="P360" s="35">
        <v>2.6731389188756591E-2</v>
      </c>
      <c r="Q360" s="28" t="s">
        <v>100</v>
      </c>
      <c r="R360" s="5">
        <v>-0.2</v>
      </c>
    </row>
    <row r="361" spans="12:18" x14ac:dyDescent="0.4">
      <c r="L361" s="33">
        <v>357</v>
      </c>
      <c r="M361" s="33" t="s">
        <v>809</v>
      </c>
      <c r="N361" s="34" t="s">
        <v>810</v>
      </c>
      <c r="O361" s="27">
        <v>89758</v>
      </c>
      <c r="P361" s="35">
        <v>2.8124814277225848E-2</v>
      </c>
      <c r="Q361" s="28" t="s">
        <v>100</v>
      </c>
      <c r="R361" s="5">
        <v>-0.2</v>
      </c>
    </row>
    <row r="362" spans="12:18" x14ac:dyDescent="0.4">
      <c r="L362" s="33">
        <v>358</v>
      </c>
      <c r="M362" s="33" t="s">
        <v>811</v>
      </c>
      <c r="N362" s="34" t="s">
        <v>812</v>
      </c>
      <c r="O362" s="27">
        <v>85297</v>
      </c>
      <c r="P362" s="35">
        <v>2.6727002422118732E-2</v>
      </c>
      <c r="Q362" s="28" t="s">
        <v>100</v>
      </c>
      <c r="R362" s="5">
        <v>-0.2</v>
      </c>
    </row>
    <row r="363" spans="12:18" x14ac:dyDescent="0.4">
      <c r="L363" s="33">
        <v>359</v>
      </c>
      <c r="M363" s="33" t="s">
        <v>813</v>
      </c>
      <c r="N363" s="34" t="s">
        <v>814</v>
      </c>
      <c r="O363" s="27">
        <v>81634</v>
      </c>
      <c r="P363" s="35">
        <v>2.5579236265369714E-2</v>
      </c>
      <c r="Q363" s="28" t="s">
        <v>100</v>
      </c>
      <c r="R363" s="5">
        <v>-0.2</v>
      </c>
    </row>
    <row r="364" spans="12:18" x14ac:dyDescent="0.4">
      <c r="L364" s="33">
        <v>360</v>
      </c>
      <c r="M364" s="33" t="s">
        <v>815</v>
      </c>
      <c r="N364" s="34" t="s">
        <v>816</v>
      </c>
      <c r="O364" s="27">
        <v>83827</v>
      </c>
      <c r="P364" s="35">
        <v>2.6266391925143285E-2</v>
      </c>
      <c r="Q364" s="28" t="s">
        <v>100</v>
      </c>
      <c r="R364" s="5">
        <v>-0.2</v>
      </c>
    </row>
    <row r="365" spans="12:18" x14ac:dyDescent="0.4">
      <c r="L365" s="33">
        <v>361</v>
      </c>
      <c r="M365" s="33" t="s">
        <v>817</v>
      </c>
      <c r="N365" s="34" t="s">
        <v>818</v>
      </c>
      <c r="O365" s="27">
        <v>81206</v>
      </c>
      <c r="P365" s="35">
        <v>2.5445126542440809E-2</v>
      </c>
      <c r="Q365" s="28" t="s">
        <v>100</v>
      </c>
      <c r="R365" s="5">
        <v>-0.2</v>
      </c>
    </row>
    <row r="366" spans="12:18" x14ac:dyDescent="0.4">
      <c r="L366" s="33">
        <v>362</v>
      </c>
      <c r="M366" s="33" t="s">
        <v>819</v>
      </c>
      <c r="N366" s="34" t="s">
        <v>820</v>
      </c>
      <c r="O366" s="27">
        <v>80290</v>
      </c>
      <c r="P366" s="35">
        <v>2.5158106668135023E-2</v>
      </c>
      <c r="Q366" s="28" t="s">
        <v>100</v>
      </c>
      <c r="R366" s="5">
        <v>-0.2</v>
      </c>
    </row>
    <row r="367" spans="12:18" x14ac:dyDescent="0.4">
      <c r="L367" s="33">
        <v>363</v>
      </c>
      <c r="M367" s="33" t="s">
        <v>821</v>
      </c>
      <c r="N367" s="34" t="s">
        <v>822</v>
      </c>
      <c r="O367" s="27">
        <v>85224</v>
      </c>
      <c r="P367" s="35">
        <v>2.6704128567507025E-2</v>
      </c>
      <c r="Q367" s="28" t="s">
        <v>100</v>
      </c>
      <c r="R367" s="5">
        <v>-0.2</v>
      </c>
    </row>
    <row r="368" spans="12:18" x14ac:dyDescent="0.4">
      <c r="L368" s="33">
        <v>364</v>
      </c>
      <c r="M368" s="33" t="s">
        <v>823</v>
      </c>
      <c r="N368" s="34" t="s">
        <v>824</v>
      </c>
      <c r="O368" s="27">
        <v>149823</v>
      </c>
      <c r="P368" s="35">
        <v>4.6945609856021836E-2</v>
      </c>
      <c r="Q368" s="28" t="s">
        <v>100</v>
      </c>
      <c r="R368" s="5">
        <v>-0.2</v>
      </c>
    </row>
    <row r="369" spans="12:18" x14ac:dyDescent="0.4">
      <c r="L369" s="33">
        <v>365</v>
      </c>
      <c r="M369" s="33" t="s">
        <v>825</v>
      </c>
      <c r="N369" s="34" t="s">
        <v>826</v>
      </c>
      <c r="O369" s="27">
        <v>79879</v>
      </c>
      <c r="P369" s="35">
        <v>2.5029323733266377E-2</v>
      </c>
      <c r="Q369" s="28" t="s">
        <v>100</v>
      </c>
      <c r="R369" s="5">
        <v>-0.2</v>
      </c>
    </row>
    <row r="370" spans="12:18" x14ac:dyDescent="0.4">
      <c r="L370" s="33">
        <v>366</v>
      </c>
      <c r="M370" s="33" t="s">
        <v>827</v>
      </c>
      <c r="N370" s="34" t="s">
        <v>828</v>
      </c>
      <c r="O370" s="27">
        <v>79321</v>
      </c>
      <c r="P370" s="35">
        <v>2.4854479748700187E-2</v>
      </c>
      <c r="Q370" s="28" t="s">
        <v>100</v>
      </c>
      <c r="R370" s="5">
        <v>-0.2</v>
      </c>
    </row>
    <row r="371" spans="12:18" x14ac:dyDescent="0.4">
      <c r="L371" s="33">
        <v>367</v>
      </c>
      <c r="M371" s="33" t="s">
        <v>829</v>
      </c>
      <c r="N371" s="34" t="s">
        <v>830</v>
      </c>
      <c r="O371" s="27">
        <v>76851</v>
      </c>
      <c r="P371" s="35">
        <v>2.4080528777591786E-2</v>
      </c>
      <c r="Q371" s="28" t="s">
        <v>100</v>
      </c>
      <c r="R371" s="5">
        <v>-0.2</v>
      </c>
    </row>
    <row r="372" spans="12:18" x14ac:dyDescent="0.4">
      <c r="L372" s="33">
        <v>368</v>
      </c>
      <c r="M372" s="33" t="s">
        <v>831</v>
      </c>
      <c r="N372" s="34" t="s">
        <v>832</v>
      </c>
      <c r="O372" s="27">
        <v>80249</v>
      </c>
      <c r="P372" s="35">
        <v>2.5145259708695571E-2</v>
      </c>
      <c r="Q372" s="28" t="s">
        <v>100</v>
      </c>
      <c r="R372" s="5">
        <v>-0.2</v>
      </c>
    </row>
    <row r="373" spans="12:18" x14ac:dyDescent="0.4">
      <c r="L373" s="33">
        <v>369</v>
      </c>
      <c r="M373" s="33" t="s">
        <v>833</v>
      </c>
      <c r="N373" s="34" t="s">
        <v>834</v>
      </c>
      <c r="O373" s="27">
        <v>78949</v>
      </c>
      <c r="P373" s="35">
        <v>2.4737917092322727E-2</v>
      </c>
      <c r="Q373" s="28" t="s">
        <v>100</v>
      </c>
      <c r="R373" s="5">
        <v>-0.2</v>
      </c>
    </row>
    <row r="374" spans="12:18" x14ac:dyDescent="0.4">
      <c r="L374" s="33">
        <v>370</v>
      </c>
      <c r="M374" s="33" t="s">
        <v>835</v>
      </c>
      <c r="N374" s="34" t="s">
        <v>836</v>
      </c>
      <c r="O374" s="27">
        <v>75354</v>
      </c>
      <c r="P374" s="35">
        <v>2.361145808781475E-2</v>
      </c>
      <c r="Q374" s="28" t="s">
        <v>100</v>
      </c>
      <c r="R374" s="5">
        <v>-0.2</v>
      </c>
    </row>
    <row r="375" spans="12:18" x14ac:dyDescent="0.4">
      <c r="L375" s="33">
        <v>371</v>
      </c>
      <c r="M375" s="33" t="s">
        <v>837</v>
      </c>
      <c r="N375" s="34" t="s">
        <v>838</v>
      </c>
      <c r="O375" s="27">
        <v>100409</v>
      </c>
      <c r="P375" s="35">
        <v>3.1462203667215957E-2</v>
      </c>
      <c r="Q375" s="28" t="s">
        <v>100</v>
      </c>
      <c r="R375" s="5">
        <v>-0.2</v>
      </c>
    </row>
    <row r="376" spans="12:18" x14ac:dyDescent="0.4">
      <c r="L376" s="33">
        <v>372</v>
      </c>
      <c r="M376" s="33" t="s">
        <v>839</v>
      </c>
      <c r="N376" s="34" t="s">
        <v>840</v>
      </c>
      <c r="O376" s="27">
        <v>85008</v>
      </c>
      <c r="P376" s="35">
        <v>2.6636447025094306E-2</v>
      </c>
      <c r="Q376" s="28" t="s">
        <v>100</v>
      </c>
      <c r="R376" s="5">
        <v>-0.2</v>
      </c>
    </row>
    <row r="377" spans="12:18" x14ac:dyDescent="0.4">
      <c r="L377" s="33">
        <v>373</v>
      </c>
      <c r="M377" s="33" t="s">
        <v>841</v>
      </c>
      <c r="N377" s="34" t="s">
        <v>842</v>
      </c>
      <c r="O377" s="27">
        <v>71242</v>
      </c>
      <c r="P377" s="35">
        <v>2.2323002058180039E-2</v>
      </c>
      <c r="Q377" s="28" t="s">
        <v>100</v>
      </c>
      <c r="R377" s="5">
        <v>-0.2</v>
      </c>
    </row>
    <row r="378" spans="12:18" x14ac:dyDescent="0.4">
      <c r="L378" s="33">
        <v>374</v>
      </c>
      <c r="M378" s="33" t="s">
        <v>843</v>
      </c>
      <c r="N378" s="34" t="s">
        <v>844</v>
      </c>
      <c r="O378" s="27">
        <v>75722</v>
      </c>
      <c r="P378" s="35">
        <v>2.3726767382295681E-2</v>
      </c>
      <c r="Q378" s="28" t="s">
        <v>100</v>
      </c>
      <c r="R378" s="5">
        <v>-0.2</v>
      </c>
    </row>
    <row r="379" spans="12:18" x14ac:dyDescent="0.4">
      <c r="L379" s="33">
        <v>375</v>
      </c>
      <c r="M379" s="33" t="s">
        <v>845</v>
      </c>
      <c r="N379" s="34" t="s">
        <v>846</v>
      </c>
      <c r="O379" s="27">
        <v>71813</v>
      </c>
      <c r="P379" s="35">
        <v>2.2501919468909955E-2</v>
      </c>
      <c r="Q379" s="28" t="s">
        <v>100</v>
      </c>
      <c r="R379" s="5">
        <v>-0.2</v>
      </c>
    </row>
    <row r="380" spans="12:18" x14ac:dyDescent="0.4">
      <c r="L380" s="33">
        <v>376</v>
      </c>
      <c r="M380" s="33" t="s">
        <v>847</v>
      </c>
      <c r="N380" s="34" t="s">
        <v>848</v>
      </c>
      <c r="O380" s="27">
        <v>69769</v>
      </c>
      <c r="P380" s="35">
        <v>2.1861451539782195E-2</v>
      </c>
      <c r="Q380" s="28" t="s">
        <v>100</v>
      </c>
      <c r="R380" s="5">
        <v>-0.2</v>
      </c>
    </row>
    <row r="381" spans="12:18" x14ac:dyDescent="0.4">
      <c r="L381" s="33">
        <v>377</v>
      </c>
      <c r="M381" s="33" t="s">
        <v>849</v>
      </c>
      <c r="N381" s="34" t="s">
        <v>850</v>
      </c>
      <c r="O381" s="27">
        <v>74061</v>
      </c>
      <c r="P381" s="35">
        <v>2.320630885476084E-2</v>
      </c>
      <c r="Q381" s="28" t="s">
        <v>100</v>
      </c>
      <c r="R381" s="5">
        <v>-0.2</v>
      </c>
    </row>
    <row r="382" spans="12:18" x14ac:dyDescent="0.4">
      <c r="L382" s="33">
        <v>378</v>
      </c>
      <c r="M382" s="33" t="s">
        <v>851</v>
      </c>
      <c r="N382" s="34" t="s">
        <v>852</v>
      </c>
      <c r="O382" s="27">
        <v>79724</v>
      </c>
      <c r="P382" s="35">
        <v>2.498075595977577E-2</v>
      </c>
      <c r="Q382" s="28" t="s">
        <v>100</v>
      </c>
      <c r="R382" s="5">
        <v>-0.2</v>
      </c>
    </row>
    <row r="383" spans="12:18" x14ac:dyDescent="0.4">
      <c r="L383" s="33">
        <v>379</v>
      </c>
      <c r="M383" s="33" t="s">
        <v>853</v>
      </c>
      <c r="N383" s="34" t="s">
        <v>854</v>
      </c>
      <c r="O383" s="27">
        <v>67896</v>
      </c>
      <c r="P383" s="35">
        <v>2.1274564831731169E-2</v>
      </c>
      <c r="Q383" s="28" t="s">
        <v>100</v>
      </c>
      <c r="R383" s="5">
        <v>-0.2</v>
      </c>
    </row>
    <row r="384" spans="12:18" x14ac:dyDescent="0.4">
      <c r="L384" s="33">
        <v>380</v>
      </c>
      <c r="M384" s="33" t="s">
        <v>855</v>
      </c>
      <c r="N384" s="34" t="s">
        <v>856</v>
      </c>
      <c r="O384" s="27">
        <v>71514</v>
      </c>
      <c r="P384" s="35">
        <v>2.2408230667144202E-2</v>
      </c>
      <c r="Q384" s="28" t="s">
        <v>100</v>
      </c>
      <c r="R384" s="5">
        <v>-0.2</v>
      </c>
    </row>
    <row r="385" spans="12:18" x14ac:dyDescent="0.4">
      <c r="L385" s="33">
        <v>381</v>
      </c>
      <c r="M385" s="33" t="s">
        <v>857</v>
      </c>
      <c r="N385" s="34" t="s">
        <v>858</v>
      </c>
      <c r="O385" s="27">
        <v>72815</v>
      </c>
      <c r="P385" s="35">
        <v>2.2815886623991179E-2</v>
      </c>
      <c r="Q385" s="28" t="s">
        <v>100</v>
      </c>
      <c r="R385" s="5">
        <v>-0.2</v>
      </c>
    </row>
    <row r="386" spans="12:18" x14ac:dyDescent="0.4">
      <c r="L386" s="33">
        <v>382</v>
      </c>
      <c r="M386" s="33" t="s">
        <v>859</v>
      </c>
      <c r="N386" s="34" t="s">
        <v>860</v>
      </c>
      <c r="O386" s="27">
        <v>66700</v>
      </c>
      <c r="P386" s="35">
        <v>2.0899809624668152E-2</v>
      </c>
      <c r="Q386" s="28" t="s">
        <v>100</v>
      </c>
      <c r="R386" s="5">
        <v>-0.2</v>
      </c>
    </row>
    <row r="387" spans="12:18" x14ac:dyDescent="0.4">
      <c r="L387" s="33">
        <v>383</v>
      </c>
      <c r="M387" s="33" t="s">
        <v>861</v>
      </c>
      <c r="N387" s="34" t="s">
        <v>862</v>
      </c>
      <c r="O387" s="27">
        <v>68033</v>
      </c>
      <c r="P387" s="35">
        <v>2.1317492476687381E-2</v>
      </c>
      <c r="Q387" s="28" t="s">
        <v>100</v>
      </c>
      <c r="R387" s="5">
        <v>-0.2</v>
      </c>
    </row>
    <row r="388" spans="12:18" x14ac:dyDescent="0.4">
      <c r="L388" s="33">
        <v>384</v>
      </c>
      <c r="M388" s="33" t="s">
        <v>863</v>
      </c>
      <c r="N388" s="34" t="s">
        <v>864</v>
      </c>
      <c r="O388" s="27">
        <v>69474</v>
      </c>
      <c r="P388" s="35">
        <v>2.1769016099912972E-2</v>
      </c>
      <c r="Q388" s="28" t="s">
        <v>100</v>
      </c>
      <c r="R388" s="5">
        <v>-0.2</v>
      </c>
    </row>
    <row r="389" spans="12:18" x14ac:dyDescent="0.4">
      <c r="L389" s="33">
        <v>385</v>
      </c>
      <c r="M389" s="33" t="s">
        <v>865</v>
      </c>
      <c r="N389" s="34" t="s">
        <v>866</v>
      </c>
      <c r="O389" s="27">
        <v>67760</v>
      </c>
      <c r="P389" s="35">
        <v>2.1231950527249084E-2</v>
      </c>
      <c r="Q389" s="28" t="s">
        <v>100</v>
      </c>
      <c r="R389" s="5">
        <v>-0.2</v>
      </c>
    </row>
    <row r="390" spans="12:18" x14ac:dyDescent="0.4">
      <c r="L390" s="33">
        <v>386</v>
      </c>
      <c r="M390" s="33" t="s">
        <v>867</v>
      </c>
      <c r="N390" s="34" t="s">
        <v>868</v>
      </c>
      <c r="O390" s="27">
        <v>67471</v>
      </c>
      <c r="P390" s="35">
        <v>2.1141395130224661E-2</v>
      </c>
      <c r="Q390" s="28" t="s">
        <v>100</v>
      </c>
      <c r="R390" s="5">
        <v>-0.2</v>
      </c>
    </row>
    <row r="391" spans="12:18" x14ac:dyDescent="0.4">
      <c r="L391" s="33">
        <v>387</v>
      </c>
      <c r="M391" s="33" t="s">
        <v>869</v>
      </c>
      <c r="N391" s="34" t="s">
        <v>870</v>
      </c>
      <c r="O391" s="27">
        <v>69023</v>
      </c>
      <c r="P391" s="35">
        <v>2.1627699546079009E-2</v>
      </c>
      <c r="Q391" s="28" t="s">
        <v>100</v>
      </c>
      <c r="R391" s="5">
        <v>-0.2</v>
      </c>
    </row>
    <row r="392" spans="12:18" x14ac:dyDescent="0.4">
      <c r="L392" s="33">
        <v>388</v>
      </c>
      <c r="M392" s="33" t="s">
        <v>871</v>
      </c>
      <c r="N392" s="34" t="s">
        <v>872</v>
      </c>
      <c r="O392" s="27">
        <v>63462</v>
      </c>
      <c r="P392" s="35">
        <v>1.9885213169425642E-2</v>
      </c>
      <c r="Q392" s="28" t="s">
        <v>100</v>
      </c>
      <c r="R392" s="5">
        <v>-0.2</v>
      </c>
    </row>
    <row r="393" spans="12:18" x14ac:dyDescent="0.4">
      <c r="L393" s="33">
        <v>389</v>
      </c>
      <c r="M393" s="33" t="s">
        <v>873</v>
      </c>
      <c r="N393" s="34" t="s">
        <v>874</v>
      </c>
      <c r="O393" s="27">
        <v>63453</v>
      </c>
      <c r="P393" s="35">
        <v>1.9882393105158446E-2</v>
      </c>
      <c r="Q393" s="28" t="s">
        <v>100</v>
      </c>
      <c r="R393" s="5">
        <v>-0.2</v>
      </c>
    </row>
    <row r="394" spans="12:18" x14ac:dyDescent="0.4">
      <c r="L394" s="33">
        <v>390</v>
      </c>
      <c r="M394" s="33" t="s">
        <v>875</v>
      </c>
      <c r="N394" s="34" t="s">
        <v>876</v>
      </c>
      <c r="O394" s="27">
        <v>101442</v>
      </c>
      <c r="P394" s="35">
        <v>3.1785884376995303E-2</v>
      </c>
      <c r="Q394" s="28" t="s">
        <v>100</v>
      </c>
      <c r="R394" s="5">
        <v>-0.2</v>
      </c>
    </row>
    <row r="395" spans="12:18" x14ac:dyDescent="0.4">
      <c r="L395" s="33">
        <v>391</v>
      </c>
      <c r="M395" s="33" t="s">
        <v>877</v>
      </c>
      <c r="N395" s="34" t="s">
        <v>878</v>
      </c>
      <c r="O395" s="27">
        <v>62701</v>
      </c>
      <c r="P395" s="35">
        <v>1.9646761068610463E-2</v>
      </c>
      <c r="Q395" s="28" t="s">
        <v>100</v>
      </c>
      <c r="R395" s="5">
        <v>-0.2</v>
      </c>
    </row>
    <row r="396" spans="12:18" x14ac:dyDescent="0.4">
      <c r="L396" s="33">
        <v>392</v>
      </c>
      <c r="M396" s="33" t="s">
        <v>879</v>
      </c>
      <c r="N396" s="34" t="s">
        <v>880</v>
      </c>
      <c r="O396" s="27">
        <v>79251</v>
      </c>
      <c r="P396" s="35">
        <v>2.483254591551088E-2</v>
      </c>
      <c r="Q396" s="28" t="s">
        <v>100</v>
      </c>
      <c r="R396" s="5">
        <v>-0.2</v>
      </c>
    </row>
    <row r="397" spans="12:18" x14ac:dyDescent="0.4">
      <c r="L397" s="33">
        <v>393</v>
      </c>
      <c r="M397" s="33" t="s">
        <v>881</v>
      </c>
      <c r="N397" s="34" t="s">
        <v>882</v>
      </c>
      <c r="O397" s="27">
        <v>65379</v>
      </c>
      <c r="P397" s="35">
        <v>2.0485886858338517E-2</v>
      </c>
      <c r="Q397" s="28" t="s">
        <v>100</v>
      </c>
      <c r="R397" s="5">
        <v>-0.2</v>
      </c>
    </row>
    <row r="398" spans="12:18" x14ac:dyDescent="0.4">
      <c r="L398" s="33">
        <v>394</v>
      </c>
      <c r="M398" s="33" t="s">
        <v>883</v>
      </c>
      <c r="N398" s="34" t="s">
        <v>884</v>
      </c>
      <c r="O398" s="27">
        <v>61471</v>
      </c>
      <c r="P398" s="35">
        <v>1.9261352285426928E-2</v>
      </c>
      <c r="Q398" s="28" t="s">
        <v>100</v>
      </c>
      <c r="R398" s="5">
        <v>-0.2</v>
      </c>
    </row>
    <row r="399" spans="12:18" x14ac:dyDescent="0.4">
      <c r="L399" s="33">
        <v>395</v>
      </c>
      <c r="M399" s="33" t="s">
        <v>885</v>
      </c>
      <c r="N399" s="34" t="s">
        <v>886</v>
      </c>
      <c r="O399" s="27">
        <v>60467</v>
      </c>
      <c r="P399" s="35">
        <v>1.894675844939744E-2</v>
      </c>
      <c r="Q399" s="28" t="s">
        <v>100</v>
      </c>
      <c r="R399" s="5">
        <v>-0.2</v>
      </c>
    </row>
    <row r="400" spans="12:18" x14ac:dyDescent="0.4">
      <c r="L400" s="33">
        <v>396</v>
      </c>
      <c r="M400" s="33" t="s">
        <v>887</v>
      </c>
      <c r="N400" s="34" t="s">
        <v>888</v>
      </c>
      <c r="O400" s="27">
        <v>77752</v>
      </c>
      <c r="P400" s="35">
        <v>2.4362848544785581E-2</v>
      </c>
      <c r="Q400" s="28" t="s">
        <v>100</v>
      </c>
      <c r="R400" s="5">
        <v>-0.2</v>
      </c>
    </row>
    <row r="401" spans="12:18" x14ac:dyDescent="0.4">
      <c r="L401" s="33">
        <v>397</v>
      </c>
      <c r="M401" s="33" t="s">
        <v>889</v>
      </c>
      <c r="N401" s="34" t="s">
        <v>890</v>
      </c>
      <c r="O401" s="27">
        <v>64702</v>
      </c>
      <c r="P401" s="35">
        <v>2.0273755357350508E-2</v>
      </c>
      <c r="Q401" s="28" t="s">
        <v>100</v>
      </c>
      <c r="R401" s="5">
        <v>-0.2</v>
      </c>
    </row>
    <row r="402" spans="12:18" x14ac:dyDescent="0.4">
      <c r="L402" s="33">
        <v>398</v>
      </c>
      <c r="M402" s="33" t="s">
        <v>891</v>
      </c>
      <c r="N402" s="34" t="s">
        <v>892</v>
      </c>
      <c r="O402" s="27">
        <v>67676</v>
      </c>
      <c r="P402" s="35">
        <v>2.1205629927421917E-2</v>
      </c>
      <c r="Q402" s="28" t="s">
        <v>100</v>
      </c>
      <c r="R402" s="5">
        <v>-0.2</v>
      </c>
    </row>
    <row r="403" spans="12:18" x14ac:dyDescent="0.4">
      <c r="L403" s="33">
        <v>399</v>
      </c>
      <c r="M403" s="33" t="s">
        <v>893</v>
      </c>
      <c r="N403" s="34" t="s">
        <v>894</v>
      </c>
      <c r="O403" s="27">
        <v>82604</v>
      </c>
      <c r="P403" s="35">
        <v>2.5883176525278682E-2</v>
      </c>
      <c r="Q403" s="28" t="s">
        <v>100</v>
      </c>
      <c r="R403" s="5">
        <v>-0.2</v>
      </c>
    </row>
    <row r="404" spans="12:18" x14ac:dyDescent="0.4">
      <c r="L404" s="33">
        <v>400</v>
      </c>
      <c r="M404" s="33" t="s">
        <v>895</v>
      </c>
      <c r="N404" s="34" t="s">
        <v>896</v>
      </c>
      <c r="O404" s="27">
        <v>63353</v>
      </c>
      <c r="P404" s="35">
        <v>1.985105905774515E-2</v>
      </c>
      <c r="Q404" s="28" t="s">
        <v>100</v>
      </c>
      <c r="R404" s="5">
        <v>-0.2</v>
      </c>
    </row>
    <row r="405" spans="12:18" x14ac:dyDescent="0.4">
      <c r="L405" s="33">
        <v>401</v>
      </c>
      <c r="M405" s="33" t="s">
        <v>897</v>
      </c>
      <c r="N405" s="34" t="s">
        <v>898</v>
      </c>
      <c r="O405" s="27">
        <v>58547</v>
      </c>
      <c r="P405" s="35">
        <v>1.8345144739062163E-2</v>
      </c>
      <c r="Q405" s="28" t="s">
        <v>100</v>
      </c>
      <c r="R405" s="5">
        <v>-0.2</v>
      </c>
    </row>
    <row r="406" spans="12:18" x14ac:dyDescent="0.4">
      <c r="L406" s="33">
        <v>402</v>
      </c>
      <c r="M406" s="33" t="s">
        <v>899</v>
      </c>
      <c r="N406" s="34" t="s">
        <v>900</v>
      </c>
      <c r="O406" s="27">
        <v>58209</v>
      </c>
      <c r="P406" s="35">
        <v>1.8239235658805225E-2</v>
      </c>
      <c r="Q406" s="28" t="s">
        <v>100</v>
      </c>
      <c r="R406" s="5">
        <v>-0.2</v>
      </c>
    </row>
    <row r="407" spans="12:18" x14ac:dyDescent="0.4">
      <c r="L407" s="33">
        <v>403</v>
      </c>
      <c r="M407" s="33" t="s">
        <v>901</v>
      </c>
      <c r="N407" s="34" t="s">
        <v>902</v>
      </c>
      <c r="O407" s="27">
        <v>63009</v>
      </c>
      <c r="P407" s="35">
        <v>1.9743269934643412E-2</v>
      </c>
      <c r="Q407" s="28" t="s">
        <v>100</v>
      </c>
      <c r="R407" s="5">
        <v>-0.2</v>
      </c>
    </row>
    <row r="408" spans="12:18" x14ac:dyDescent="0.4">
      <c r="L408" s="33">
        <v>404</v>
      </c>
      <c r="M408" s="33" t="s">
        <v>903</v>
      </c>
      <c r="N408" s="34" t="s">
        <v>904</v>
      </c>
      <c r="O408" s="27">
        <v>62583</v>
      </c>
      <c r="P408" s="35">
        <v>1.9609786892662774E-2</v>
      </c>
      <c r="Q408" s="28" t="s">
        <v>100</v>
      </c>
      <c r="R408" s="5">
        <v>-0.2</v>
      </c>
    </row>
    <row r="409" spans="12:18" x14ac:dyDescent="0.4">
      <c r="L409" s="33">
        <v>405</v>
      </c>
      <c r="M409" s="33" t="s">
        <v>905</v>
      </c>
      <c r="N409" s="34" t="s">
        <v>906</v>
      </c>
      <c r="O409" s="27">
        <v>57906</v>
      </c>
      <c r="P409" s="35">
        <v>1.8144293495142939E-2</v>
      </c>
      <c r="Q409" s="28" t="s">
        <v>100</v>
      </c>
      <c r="R409" s="5">
        <v>-0.2</v>
      </c>
    </row>
    <row r="410" spans="12:18" x14ac:dyDescent="0.4">
      <c r="L410" s="33">
        <v>406</v>
      </c>
      <c r="M410" s="33" t="s">
        <v>907</v>
      </c>
      <c r="N410" s="34" t="s">
        <v>908</v>
      </c>
      <c r="O410" s="27">
        <v>61334</v>
      </c>
      <c r="P410" s="35">
        <v>1.9218424640470712E-2</v>
      </c>
      <c r="Q410" s="28" t="s">
        <v>100</v>
      </c>
      <c r="R410" s="5">
        <v>-0.2</v>
      </c>
    </row>
    <row r="411" spans="12:18" x14ac:dyDescent="0.4">
      <c r="L411" s="33">
        <v>407</v>
      </c>
      <c r="M411" s="33" t="s">
        <v>909</v>
      </c>
      <c r="N411" s="34" t="s">
        <v>910</v>
      </c>
      <c r="O411" s="27">
        <v>56705</v>
      </c>
      <c r="P411" s="35">
        <v>1.7767971585709259E-2</v>
      </c>
      <c r="Q411" s="28" t="s">
        <v>100</v>
      </c>
      <c r="R411" s="5">
        <v>-0.2</v>
      </c>
    </row>
    <row r="412" spans="12:18" x14ac:dyDescent="0.4">
      <c r="L412" s="33">
        <v>408</v>
      </c>
      <c r="M412" s="33" t="s">
        <v>911</v>
      </c>
      <c r="N412" s="34" t="s">
        <v>912</v>
      </c>
      <c r="O412" s="27">
        <v>56638</v>
      </c>
      <c r="P412" s="35">
        <v>1.7746977773942352E-2</v>
      </c>
      <c r="Q412" s="28" t="s">
        <v>100</v>
      </c>
      <c r="R412" s="5">
        <v>-0.2</v>
      </c>
    </row>
    <row r="413" spans="12:18" x14ac:dyDescent="0.4">
      <c r="L413" s="33">
        <v>409</v>
      </c>
      <c r="M413" s="33" t="s">
        <v>913</v>
      </c>
      <c r="N413" s="34" t="s">
        <v>914</v>
      </c>
      <c r="O413" s="27">
        <v>56469</v>
      </c>
      <c r="P413" s="35">
        <v>1.7694023233813881E-2</v>
      </c>
      <c r="Q413" s="28" t="s">
        <v>100</v>
      </c>
      <c r="R413" s="5">
        <v>-0.2</v>
      </c>
    </row>
    <row r="414" spans="12:18" x14ac:dyDescent="0.4">
      <c r="L414" s="33">
        <v>410</v>
      </c>
      <c r="M414" s="33" t="s">
        <v>915</v>
      </c>
      <c r="N414" s="34" t="s">
        <v>916</v>
      </c>
      <c r="O414" s="27">
        <v>56424</v>
      </c>
      <c r="P414" s="35">
        <v>1.7679922912477899E-2</v>
      </c>
      <c r="Q414" s="28" t="s">
        <v>100</v>
      </c>
      <c r="R414" s="5">
        <v>-0.2</v>
      </c>
    </row>
    <row r="415" spans="12:18" x14ac:dyDescent="0.4">
      <c r="L415" s="33">
        <v>411</v>
      </c>
      <c r="M415" s="33" t="s">
        <v>917</v>
      </c>
      <c r="N415" s="34" t="s">
        <v>918</v>
      </c>
      <c r="O415" s="27">
        <v>56306</v>
      </c>
      <c r="P415" s="35">
        <v>1.764294873653021E-2</v>
      </c>
      <c r="Q415" s="28" t="s">
        <v>100</v>
      </c>
      <c r="R415" s="5">
        <v>-0.2</v>
      </c>
    </row>
    <row r="416" spans="12:18" x14ac:dyDescent="0.4">
      <c r="L416" s="33">
        <v>412</v>
      </c>
      <c r="M416" s="33" t="s">
        <v>919</v>
      </c>
      <c r="N416" s="34" t="s">
        <v>920</v>
      </c>
      <c r="O416" s="27">
        <v>56196</v>
      </c>
      <c r="P416" s="35">
        <v>1.7608481284375584E-2</v>
      </c>
      <c r="Q416" s="28" t="s">
        <v>100</v>
      </c>
      <c r="R416" s="5">
        <v>-0.2</v>
      </c>
    </row>
    <row r="417" spans="12:18" x14ac:dyDescent="0.4">
      <c r="L417" s="33">
        <v>413</v>
      </c>
      <c r="M417" s="33" t="s">
        <v>921</v>
      </c>
      <c r="N417" s="34" t="s">
        <v>922</v>
      </c>
      <c r="O417" s="27">
        <v>56816</v>
      </c>
      <c r="P417" s="35">
        <v>1.7802752378338019E-2</v>
      </c>
      <c r="Q417" s="28" t="s">
        <v>100</v>
      </c>
      <c r="R417" s="5">
        <v>-0.2</v>
      </c>
    </row>
    <row r="418" spans="12:18" x14ac:dyDescent="0.4">
      <c r="L418" s="33">
        <v>414</v>
      </c>
      <c r="M418" s="33" t="s">
        <v>923</v>
      </c>
      <c r="N418" s="34" t="s">
        <v>924</v>
      </c>
      <c r="O418" s="27">
        <v>55506</v>
      </c>
      <c r="P418" s="35">
        <v>1.7392276357223846E-2</v>
      </c>
      <c r="Q418" s="28" t="s">
        <v>100</v>
      </c>
      <c r="R418" s="5">
        <v>-0.2</v>
      </c>
    </row>
    <row r="419" spans="12:18" x14ac:dyDescent="0.4">
      <c r="L419" s="33">
        <v>415</v>
      </c>
      <c r="M419" s="33" t="s">
        <v>925</v>
      </c>
      <c r="N419" s="34" t="s">
        <v>926</v>
      </c>
      <c r="O419" s="27">
        <v>62482</v>
      </c>
      <c r="P419" s="35">
        <v>1.9578139504775344E-2</v>
      </c>
      <c r="Q419" s="28" t="s">
        <v>100</v>
      </c>
      <c r="R419" s="5">
        <v>-0.2</v>
      </c>
    </row>
    <row r="420" spans="12:18" x14ac:dyDescent="0.4">
      <c r="L420" s="33">
        <v>416</v>
      </c>
      <c r="M420" s="33" t="s">
        <v>927</v>
      </c>
      <c r="N420" s="34" t="s">
        <v>928</v>
      </c>
      <c r="O420" s="27">
        <v>54775</v>
      </c>
      <c r="P420" s="35">
        <v>1.7163224470632656E-2</v>
      </c>
      <c r="Q420" s="28" t="s">
        <v>100</v>
      </c>
      <c r="R420" s="5">
        <v>-0.2</v>
      </c>
    </row>
    <row r="421" spans="12:18" x14ac:dyDescent="0.4">
      <c r="L421" s="33">
        <v>417</v>
      </c>
      <c r="M421" s="33" t="s">
        <v>929</v>
      </c>
      <c r="N421" s="34" t="s">
        <v>930</v>
      </c>
      <c r="O421" s="27">
        <v>55589</v>
      </c>
      <c r="P421" s="35">
        <v>1.741828361657688E-2</v>
      </c>
      <c r="Q421" s="28" t="s">
        <v>100</v>
      </c>
      <c r="R421" s="5">
        <v>-0.2</v>
      </c>
    </row>
    <row r="422" spans="12:18" x14ac:dyDescent="0.4">
      <c r="L422" s="33">
        <v>418</v>
      </c>
      <c r="M422" s="33" t="s">
        <v>931</v>
      </c>
      <c r="N422" s="34" t="s">
        <v>932</v>
      </c>
      <c r="O422" s="27">
        <v>55767</v>
      </c>
      <c r="P422" s="35">
        <v>1.7474058220972546E-2</v>
      </c>
      <c r="Q422" s="28" t="s">
        <v>100</v>
      </c>
      <c r="R422" s="5">
        <v>-0.2</v>
      </c>
    </row>
    <row r="423" spans="12:18" x14ac:dyDescent="0.4">
      <c r="L423" s="33">
        <v>419</v>
      </c>
      <c r="M423" s="33" t="s">
        <v>933</v>
      </c>
      <c r="N423" s="34" t="s">
        <v>934</v>
      </c>
      <c r="O423" s="27">
        <v>54442</v>
      </c>
      <c r="P423" s="35">
        <v>1.7058882092746381E-2</v>
      </c>
      <c r="Q423" s="28" t="s">
        <v>100</v>
      </c>
      <c r="R423" s="5">
        <v>-0.2</v>
      </c>
    </row>
    <row r="424" spans="12:18" x14ac:dyDescent="0.4">
      <c r="L424" s="33">
        <v>420</v>
      </c>
      <c r="M424" s="33" t="s">
        <v>935</v>
      </c>
      <c r="N424" s="34" t="s">
        <v>936</v>
      </c>
      <c r="O424" s="27">
        <v>71323</v>
      </c>
      <c r="P424" s="35">
        <v>2.2348382636584806E-2</v>
      </c>
      <c r="Q424" s="28" t="s">
        <v>100</v>
      </c>
      <c r="R424" s="5">
        <v>-0.2</v>
      </c>
    </row>
    <row r="425" spans="12:18" x14ac:dyDescent="0.4">
      <c r="L425" s="33">
        <v>421</v>
      </c>
      <c r="M425" s="33" t="s">
        <v>937</v>
      </c>
      <c r="N425" s="34" t="s">
        <v>938</v>
      </c>
      <c r="O425" s="27">
        <v>54914</v>
      </c>
      <c r="P425" s="35">
        <v>1.7206778796537134E-2</v>
      </c>
      <c r="Q425" s="28" t="s">
        <v>100</v>
      </c>
      <c r="R425" s="5">
        <v>-0.2</v>
      </c>
    </row>
    <row r="426" spans="12:18" x14ac:dyDescent="0.4">
      <c r="L426" s="33">
        <v>422</v>
      </c>
      <c r="M426" s="33" t="s">
        <v>939</v>
      </c>
      <c r="N426" s="34" t="s">
        <v>940</v>
      </c>
      <c r="O426" s="27">
        <v>55713</v>
      </c>
      <c r="P426" s="35">
        <v>1.7457137835369368E-2</v>
      </c>
      <c r="Q426" s="28" t="s">
        <v>100</v>
      </c>
      <c r="R426" s="5">
        <v>-0.2</v>
      </c>
    </row>
    <row r="427" spans="12:18" x14ac:dyDescent="0.4">
      <c r="L427" s="33">
        <v>423</v>
      </c>
      <c r="M427" s="33" t="s">
        <v>941</v>
      </c>
      <c r="N427" s="34" t="s">
        <v>942</v>
      </c>
      <c r="O427" s="27">
        <v>56766</v>
      </c>
      <c r="P427" s="35">
        <v>1.778708535463137E-2</v>
      </c>
      <c r="Q427" s="28" t="s">
        <v>100</v>
      </c>
      <c r="R427" s="5">
        <v>-0.2</v>
      </c>
    </row>
    <row r="428" spans="12:18" x14ac:dyDescent="0.4">
      <c r="L428" s="33">
        <v>424</v>
      </c>
      <c r="M428" s="33" t="s">
        <v>943</v>
      </c>
      <c r="N428" s="34" t="s">
        <v>944</v>
      </c>
      <c r="O428" s="27">
        <v>53088</v>
      </c>
      <c r="P428" s="35">
        <v>1.6634619090770356E-2</v>
      </c>
      <c r="Q428" s="28" t="s">
        <v>100</v>
      </c>
      <c r="R428" s="5">
        <v>-0.2</v>
      </c>
    </row>
    <row r="429" spans="12:18" x14ac:dyDescent="0.4">
      <c r="L429" s="33">
        <v>425</v>
      </c>
      <c r="M429" s="33" t="s">
        <v>945</v>
      </c>
      <c r="N429" s="34" t="s">
        <v>946</v>
      </c>
      <c r="O429" s="27">
        <v>50990</v>
      </c>
      <c r="P429" s="35">
        <v>1.5977230776039415E-2</v>
      </c>
      <c r="Q429" s="28" t="s">
        <v>100</v>
      </c>
      <c r="R429" s="5">
        <v>-0.2</v>
      </c>
    </row>
    <row r="430" spans="12:18" x14ac:dyDescent="0.4">
      <c r="L430" s="33">
        <v>426</v>
      </c>
      <c r="M430" s="33" t="s">
        <v>947</v>
      </c>
      <c r="N430" s="34" t="s">
        <v>948</v>
      </c>
      <c r="O430" s="27">
        <v>53884</v>
      </c>
      <c r="P430" s="35">
        <v>1.6884038108180191E-2</v>
      </c>
      <c r="Q430" s="28" t="s">
        <v>100</v>
      </c>
      <c r="R430" s="5">
        <v>-0.2</v>
      </c>
    </row>
    <row r="431" spans="12:18" x14ac:dyDescent="0.4">
      <c r="L431" s="33">
        <v>427</v>
      </c>
      <c r="M431" s="33" t="s">
        <v>949</v>
      </c>
      <c r="N431" s="34" t="s">
        <v>950</v>
      </c>
      <c r="O431" s="27">
        <v>74836</v>
      </c>
      <c r="P431" s="35">
        <v>2.3449147722213882E-2</v>
      </c>
      <c r="Q431" s="28" t="s">
        <v>100</v>
      </c>
      <c r="R431" s="5">
        <v>-0.2</v>
      </c>
    </row>
    <row r="432" spans="12:18" x14ac:dyDescent="0.4">
      <c r="L432" s="33">
        <v>428</v>
      </c>
      <c r="M432" s="33" t="s">
        <v>951</v>
      </c>
      <c r="N432" s="34" t="s">
        <v>952</v>
      </c>
      <c r="O432" s="27">
        <v>54454</v>
      </c>
      <c r="P432" s="35">
        <v>1.7062642178435977E-2</v>
      </c>
      <c r="Q432" s="28" t="s">
        <v>100</v>
      </c>
      <c r="R432" s="5">
        <v>-0.2</v>
      </c>
    </row>
    <row r="433" spans="12:18" x14ac:dyDescent="0.4">
      <c r="L433" s="33">
        <v>429</v>
      </c>
      <c r="M433" s="33" t="s">
        <v>953</v>
      </c>
      <c r="N433" s="34" t="s">
        <v>954</v>
      </c>
      <c r="O433" s="27">
        <v>49639</v>
      </c>
      <c r="P433" s="35">
        <v>1.5553907795485794E-2</v>
      </c>
      <c r="Q433" s="28" t="s">
        <v>100</v>
      </c>
      <c r="R433" s="5">
        <v>-0.2</v>
      </c>
    </row>
    <row r="434" spans="12:18" x14ac:dyDescent="0.4">
      <c r="L434" s="33">
        <v>430</v>
      </c>
      <c r="M434" s="33" t="s">
        <v>955</v>
      </c>
      <c r="N434" s="34" t="s">
        <v>956</v>
      </c>
      <c r="O434" s="27">
        <v>52004</v>
      </c>
      <c r="P434" s="35">
        <v>1.6294958016810236E-2</v>
      </c>
      <c r="Q434" s="28" t="s">
        <v>100</v>
      </c>
      <c r="R434" s="5">
        <v>-0.2</v>
      </c>
    </row>
    <row r="435" spans="12:18" x14ac:dyDescent="0.4">
      <c r="L435" s="33">
        <v>431</v>
      </c>
      <c r="M435" s="33" t="s">
        <v>957</v>
      </c>
      <c r="N435" s="34" t="s">
        <v>958</v>
      </c>
      <c r="O435" s="27">
        <v>49385</v>
      </c>
      <c r="P435" s="35">
        <v>1.5474319315056023E-2</v>
      </c>
      <c r="Q435" s="28" t="s">
        <v>100</v>
      </c>
      <c r="R435" s="5">
        <v>-0.2</v>
      </c>
    </row>
    <row r="436" spans="12:18" x14ac:dyDescent="0.4">
      <c r="L436" s="33">
        <v>432</v>
      </c>
      <c r="M436" s="33" t="s">
        <v>959</v>
      </c>
      <c r="N436" s="34" t="s">
        <v>960</v>
      </c>
      <c r="O436" s="27">
        <v>55800</v>
      </c>
      <c r="P436" s="35">
        <v>1.7484398456618935E-2</v>
      </c>
      <c r="Q436" s="28" t="s">
        <v>100</v>
      </c>
      <c r="R436" s="5">
        <v>-0.2</v>
      </c>
    </row>
    <row r="437" spans="12:18" x14ac:dyDescent="0.4">
      <c r="L437" s="33">
        <v>433</v>
      </c>
      <c r="M437" s="33" t="s">
        <v>961</v>
      </c>
      <c r="N437" s="34" t="s">
        <v>962</v>
      </c>
      <c r="O437" s="27">
        <v>48933</v>
      </c>
      <c r="P437" s="35">
        <v>1.5332689420747926E-2</v>
      </c>
      <c r="Q437" s="28" t="s">
        <v>100</v>
      </c>
      <c r="R437" s="5">
        <v>-0.2</v>
      </c>
    </row>
    <row r="438" spans="12:18" x14ac:dyDescent="0.4">
      <c r="L438" s="33">
        <v>434</v>
      </c>
      <c r="M438" s="33" t="s">
        <v>963</v>
      </c>
      <c r="N438" s="34" t="s">
        <v>964</v>
      </c>
      <c r="O438" s="27">
        <v>48551</v>
      </c>
      <c r="P438" s="35">
        <v>1.5212993359629138E-2</v>
      </c>
      <c r="Q438" s="28" t="s">
        <v>100</v>
      </c>
      <c r="R438" s="5">
        <v>-0.2</v>
      </c>
    </row>
    <row r="439" spans="12:18" x14ac:dyDescent="0.4">
      <c r="L439" s="33">
        <v>435</v>
      </c>
      <c r="M439" s="33" t="s">
        <v>965</v>
      </c>
      <c r="N439" s="34" t="s">
        <v>966</v>
      </c>
      <c r="O439" s="27">
        <v>47837</v>
      </c>
      <c r="P439" s="35">
        <v>1.4989268261098207E-2</v>
      </c>
      <c r="Q439" s="28" t="s">
        <v>100</v>
      </c>
      <c r="R439" s="5">
        <v>-0.2</v>
      </c>
    </row>
    <row r="440" spans="12:18" x14ac:dyDescent="0.4">
      <c r="L440" s="33">
        <v>436</v>
      </c>
      <c r="M440" s="33" t="s">
        <v>967</v>
      </c>
      <c r="N440" s="34" t="s">
        <v>968</v>
      </c>
      <c r="O440" s="27">
        <v>48051</v>
      </c>
      <c r="P440" s="35">
        <v>1.505632312256266E-2</v>
      </c>
      <c r="Q440" s="28" t="s">
        <v>100</v>
      </c>
      <c r="R440" s="5">
        <v>-0.2</v>
      </c>
    </row>
    <row r="441" spans="12:18" x14ac:dyDescent="0.4">
      <c r="L441" s="33">
        <v>437</v>
      </c>
      <c r="M441" s="33" t="s">
        <v>969</v>
      </c>
      <c r="N441" s="34" t="s">
        <v>970</v>
      </c>
      <c r="O441" s="27">
        <v>47172</v>
      </c>
      <c r="P441" s="35">
        <v>1.4780896845799791E-2</v>
      </c>
      <c r="Q441" s="28" t="s">
        <v>100</v>
      </c>
      <c r="R441" s="5">
        <v>-0.2</v>
      </c>
    </row>
    <row r="442" spans="12:18" x14ac:dyDescent="0.4">
      <c r="L442" s="33">
        <v>438</v>
      </c>
      <c r="M442" s="33" t="s">
        <v>971</v>
      </c>
      <c r="N442" s="34" t="s">
        <v>972</v>
      </c>
      <c r="O442" s="27">
        <v>47061</v>
      </c>
      <c r="P442" s="35">
        <v>1.4746116053171034E-2</v>
      </c>
      <c r="Q442" s="28" t="s">
        <v>100</v>
      </c>
      <c r="R442" s="5">
        <v>-0.2</v>
      </c>
    </row>
    <row r="443" spans="12:18" x14ac:dyDescent="0.4">
      <c r="L443" s="33">
        <v>439</v>
      </c>
      <c r="M443" s="33" t="s">
        <v>973</v>
      </c>
      <c r="N443" s="34" t="s">
        <v>974</v>
      </c>
      <c r="O443" s="27">
        <v>48445</v>
      </c>
      <c r="P443" s="35">
        <v>1.5179779269371044E-2</v>
      </c>
      <c r="Q443" s="28" t="s">
        <v>100</v>
      </c>
      <c r="R443" s="5">
        <v>-0.2</v>
      </c>
    </row>
    <row r="444" spans="12:18" x14ac:dyDescent="0.4">
      <c r="L444" s="33">
        <v>440</v>
      </c>
      <c r="M444" s="33" t="s">
        <v>975</v>
      </c>
      <c r="N444" s="34" t="s">
        <v>976</v>
      </c>
      <c r="O444" s="27">
        <v>46934</v>
      </c>
      <c r="P444" s="35">
        <v>1.4706321812956148E-2</v>
      </c>
      <c r="Q444" s="28" t="s">
        <v>100</v>
      </c>
      <c r="R444" s="5">
        <v>-0.2</v>
      </c>
    </row>
    <row r="445" spans="12:18" x14ac:dyDescent="0.4">
      <c r="L445" s="33">
        <v>441</v>
      </c>
      <c r="M445" s="33" t="s">
        <v>977</v>
      </c>
      <c r="N445" s="34" t="s">
        <v>978</v>
      </c>
      <c r="O445" s="27">
        <v>46852</v>
      </c>
      <c r="P445" s="35">
        <v>1.4680627894077246E-2</v>
      </c>
      <c r="Q445" s="28" t="s">
        <v>100</v>
      </c>
      <c r="R445" s="5">
        <v>-0.2</v>
      </c>
    </row>
    <row r="446" spans="12:18" x14ac:dyDescent="0.4">
      <c r="L446" s="33">
        <v>442</v>
      </c>
      <c r="M446" s="33" t="s">
        <v>979</v>
      </c>
      <c r="N446" s="34" t="s">
        <v>980</v>
      </c>
      <c r="O446" s="27">
        <v>75443</v>
      </c>
      <c r="P446" s="35">
        <v>2.3639345390012584E-2</v>
      </c>
      <c r="Q446" s="28" t="s">
        <v>100</v>
      </c>
      <c r="R446" s="5">
        <v>-0.2</v>
      </c>
    </row>
    <row r="447" spans="12:18" x14ac:dyDescent="0.4">
      <c r="L447" s="33">
        <v>443</v>
      </c>
      <c r="M447" s="33" t="s">
        <v>981</v>
      </c>
      <c r="N447" s="34" t="s">
        <v>982</v>
      </c>
      <c r="O447" s="27">
        <v>46547</v>
      </c>
      <c r="P447" s="35">
        <v>1.4585059049466694E-2</v>
      </c>
      <c r="Q447" s="28" t="s">
        <v>100</v>
      </c>
      <c r="R447" s="5">
        <v>-0.2</v>
      </c>
    </row>
    <row r="448" spans="12:18" x14ac:dyDescent="0.4">
      <c r="L448" s="33">
        <v>444</v>
      </c>
      <c r="M448" s="33" t="s">
        <v>983</v>
      </c>
      <c r="N448" s="34" t="s">
        <v>984</v>
      </c>
      <c r="O448" s="27">
        <v>46992</v>
      </c>
      <c r="P448" s="35">
        <v>1.4724495560455859E-2</v>
      </c>
      <c r="Q448" s="28" t="s">
        <v>100</v>
      </c>
      <c r="R448" s="5">
        <v>-0.2</v>
      </c>
    </row>
    <row r="449" spans="12:18" x14ac:dyDescent="0.4">
      <c r="L449" s="33">
        <v>445</v>
      </c>
      <c r="M449" s="33" t="s">
        <v>985</v>
      </c>
      <c r="N449" s="34" t="s">
        <v>986</v>
      </c>
      <c r="O449" s="27">
        <v>74527</v>
      </c>
      <c r="P449" s="35">
        <v>2.3352325515706797E-2</v>
      </c>
      <c r="Q449" s="28" t="s">
        <v>100</v>
      </c>
      <c r="R449" s="5">
        <v>-0.2</v>
      </c>
    </row>
    <row r="450" spans="12:18" x14ac:dyDescent="0.4">
      <c r="L450" s="33">
        <v>446</v>
      </c>
      <c r="M450" s="33" t="s">
        <v>987</v>
      </c>
      <c r="N450" s="34" t="s">
        <v>988</v>
      </c>
      <c r="O450" s="27">
        <v>116840</v>
      </c>
      <c r="P450" s="35">
        <v>3.6610700997694555E-2</v>
      </c>
      <c r="Q450" s="28" t="s">
        <v>100</v>
      </c>
      <c r="R450" s="5">
        <v>-0.2</v>
      </c>
    </row>
    <row r="451" spans="12:18" x14ac:dyDescent="0.4">
      <c r="L451" s="33">
        <v>447</v>
      </c>
      <c r="M451" s="33" t="s">
        <v>989</v>
      </c>
      <c r="N451" s="34" t="s">
        <v>990</v>
      </c>
      <c r="O451" s="27">
        <v>45176</v>
      </c>
      <c r="P451" s="35">
        <v>1.4155469259430412E-2</v>
      </c>
      <c r="Q451" s="28" t="s">
        <v>100</v>
      </c>
      <c r="R451" s="5">
        <v>-0.2</v>
      </c>
    </row>
    <row r="452" spans="12:18" x14ac:dyDescent="0.4">
      <c r="L452" s="33">
        <v>448</v>
      </c>
      <c r="M452" s="33" t="s">
        <v>991</v>
      </c>
      <c r="N452" s="34" t="s">
        <v>992</v>
      </c>
      <c r="O452" s="27">
        <v>45784</v>
      </c>
      <c r="P452" s="35">
        <v>1.4345980267703248E-2</v>
      </c>
      <c r="Q452" s="28" t="s">
        <v>100</v>
      </c>
      <c r="R452" s="5">
        <v>-0.2</v>
      </c>
    </row>
    <row r="453" spans="12:18" x14ac:dyDescent="0.4">
      <c r="L453" s="33">
        <v>449</v>
      </c>
      <c r="M453" s="33" t="s">
        <v>993</v>
      </c>
      <c r="N453" s="34" t="s">
        <v>994</v>
      </c>
      <c r="O453" s="27">
        <v>46603</v>
      </c>
      <c r="P453" s="35">
        <v>1.460260611601814E-2</v>
      </c>
      <c r="Q453" s="28" t="s">
        <v>100</v>
      </c>
      <c r="R453" s="5">
        <v>-0.2</v>
      </c>
    </row>
    <row r="454" spans="12:18" x14ac:dyDescent="0.4">
      <c r="L454" s="33">
        <v>450</v>
      </c>
      <c r="M454" s="33" t="s">
        <v>995</v>
      </c>
      <c r="N454" s="34" t="s">
        <v>996</v>
      </c>
      <c r="O454" s="27">
        <v>44853</v>
      </c>
      <c r="P454" s="35">
        <v>1.4054260286285467E-2</v>
      </c>
      <c r="Q454" s="28" t="s">
        <v>100</v>
      </c>
      <c r="R454" s="5">
        <v>-0.2</v>
      </c>
    </row>
    <row r="455" spans="12:18" x14ac:dyDescent="0.4">
      <c r="L455" s="33">
        <v>451</v>
      </c>
      <c r="M455" s="33" t="s">
        <v>997</v>
      </c>
      <c r="N455" s="34" t="s">
        <v>998</v>
      </c>
      <c r="O455" s="27">
        <v>54662</v>
      </c>
      <c r="P455" s="35">
        <v>1.712781699705563E-2</v>
      </c>
      <c r="Q455" s="28" t="s">
        <v>100</v>
      </c>
      <c r="R455" s="5">
        <v>-0.2</v>
      </c>
    </row>
    <row r="456" spans="12:18" x14ac:dyDescent="0.4">
      <c r="L456" s="33">
        <v>452</v>
      </c>
      <c r="M456" s="33" t="s">
        <v>999</v>
      </c>
      <c r="N456" s="34" t="s">
        <v>1000</v>
      </c>
      <c r="O456" s="27">
        <v>43961</v>
      </c>
      <c r="P456" s="35">
        <v>1.377476058335887E-2</v>
      </c>
      <c r="Q456" s="28" t="s">
        <v>100</v>
      </c>
      <c r="R456" s="5">
        <v>-0.2</v>
      </c>
    </row>
    <row r="457" spans="12:18" x14ac:dyDescent="0.4">
      <c r="L457" s="33">
        <v>453</v>
      </c>
      <c r="M457" s="33" t="s">
        <v>1001</v>
      </c>
      <c r="N457" s="34" t="s">
        <v>1002</v>
      </c>
      <c r="O457" s="27">
        <v>43687</v>
      </c>
      <c r="P457" s="35">
        <v>1.368890529344644E-2</v>
      </c>
      <c r="Q457" s="28" t="s">
        <v>100</v>
      </c>
      <c r="R457" s="5">
        <v>-0.2</v>
      </c>
    </row>
    <row r="458" spans="12:18" x14ac:dyDescent="0.4">
      <c r="L458" s="33">
        <v>454</v>
      </c>
      <c r="M458" s="33" t="s">
        <v>1003</v>
      </c>
      <c r="N458" s="34" t="s">
        <v>46</v>
      </c>
      <c r="O458" s="27">
        <v>67463</v>
      </c>
      <c r="P458" s="35">
        <v>2.1138888406431598E-2</v>
      </c>
      <c r="Q458" s="28" t="s">
        <v>100</v>
      </c>
      <c r="R458" s="5">
        <v>-0.2</v>
      </c>
    </row>
    <row r="459" spans="12:18" x14ac:dyDescent="0.4">
      <c r="L459" s="33">
        <v>455</v>
      </c>
      <c r="M459" s="33" t="s">
        <v>1004</v>
      </c>
      <c r="N459" s="34" t="s">
        <v>1005</v>
      </c>
      <c r="O459" s="27">
        <v>43254</v>
      </c>
      <c r="P459" s="35">
        <v>1.3553228868146871E-2</v>
      </c>
      <c r="Q459" s="28" t="s">
        <v>100</v>
      </c>
      <c r="R459" s="5">
        <v>-0.2</v>
      </c>
    </row>
    <row r="460" spans="12:18" x14ac:dyDescent="0.4">
      <c r="L460" s="33">
        <v>456</v>
      </c>
      <c r="M460" s="33" t="s">
        <v>1006</v>
      </c>
      <c r="N460" s="34" t="s">
        <v>1007</v>
      </c>
      <c r="O460" s="27">
        <v>56756</v>
      </c>
      <c r="P460" s="35">
        <v>1.7783951949890041E-2</v>
      </c>
      <c r="Q460" s="28" t="s">
        <v>100</v>
      </c>
      <c r="R460" s="5">
        <v>-0.2</v>
      </c>
    </row>
    <row r="461" spans="12:18" x14ac:dyDescent="0.4">
      <c r="L461" s="33">
        <v>457</v>
      </c>
      <c r="M461" s="33" t="s">
        <v>1008</v>
      </c>
      <c r="N461" s="34" t="s">
        <v>1009</v>
      </c>
      <c r="O461" s="27">
        <v>43046</v>
      </c>
      <c r="P461" s="35">
        <v>1.3488054049527215E-2</v>
      </c>
      <c r="Q461" s="28" t="s">
        <v>100</v>
      </c>
      <c r="R461" s="5">
        <v>-0.2</v>
      </c>
    </row>
    <row r="462" spans="12:18" x14ac:dyDescent="0.4">
      <c r="L462" s="33">
        <v>458</v>
      </c>
      <c r="M462" s="33" t="s">
        <v>1010</v>
      </c>
      <c r="N462" s="34" t="s">
        <v>1011</v>
      </c>
      <c r="O462" s="27">
        <v>42473</v>
      </c>
      <c r="P462" s="35">
        <v>1.3308509957849032E-2</v>
      </c>
      <c r="Q462" s="28" t="s">
        <v>100</v>
      </c>
      <c r="R462" s="5">
        <v>-0.2</v>
      </c>
    </row>
    <row r="463" spans="12:18" x14ac:dyDescent="0.4">
      <c r="L463" s="33">
        <v>459</v>
      </c>
      <c r="M463" s="33" t="s">
        <v>1012</v>
      </c>
      <c r="N463" s="34" t="s">
        <v>1013</v>
      </c>
      <c r="O463" s="27">
        <v>47707</v>
      </c>
      <c r="P463" s="35">
        <v>1.4948533999460922E-2</v>
      </c>
      <c r="Q463" s="28" t="s">
        <v>100</v>
      </c>
      <c r="R463" s="5">
        <v>-0.2</v>
      </c>
    </row>
    <row r="464" spans="12:18" x14ac:dyDescent="0.4">
      <c r="L464" s="33">
        <v>460</v>
      </c>
      <c r="M464" s="33" t="s">
        <v>1014</v>
      </c>
      <c r="N464" s="34" t="s">
        <v>1015</v>
      </c>
      <c r="O464" s="27">
        <v>47744</v>
      </c>
      <c r="P464" s="35">
        <v>1.4960127597003842E-2</v>
      </c>
      <c r="Q464" s="28" t="s">
        <v>100</v>
      </c>
      <c r="R464" s="5">
        <v>-0.2</v>
      </c>
    </row>
    <row r="465" spans="12:18" x14ac:dyDescent="0.4">
      <c r="L465" s="33">
        <v>461</v>
      </c>
      <c r="M465" s="33" t="s">
        <v>1016</v>
      </c>
      <c r="N465" s="34" t="s">
        <v>1017</v>
      </c>
      <c r="O465" s="27">
        <v>41620</v>
      </c>
      <c r="P465" s="35">
        <v>1.3041230533413621E-2</v>
      </c>
      <c r="Q465" s="28" t="s">
        <v>100</v>
      </c>
      <c r="R465" s="5">
        <v>-0.2</v>
      </c>
    </row>
    <row r="466" spans="12:18" x14ac:dyDescent="0.4">
      <c r="L466" s="33">
        <v>462</v>
      </c>
      <c r="M466" s="33" t="s">
        <v>1018</v>
      </c>
      <c r="N466" s="34" t="s">
        <v>1019</v>
      </c>
      <c r="O466" s="27">
        <v>49398</v>
      </c>
      <c r="P466" s="35">
        <v>1.5478392741219751E-2</v>
      </c>
      <c r="Q466" s="28" t="s">
        <v>100</v>
      </c>
      <c r="R466" s="5">
        <v>-0.2</v>
      </c>
    </row>
    <row r="467" spans="12:18" x14ac:dyDescent="0.4">
      <c r="L467" s="33">
        <v>463</v>
      </c>
      <c r="M467" s="33" t="s">
        <v>1020</v>
      </c>
      <c r="N467" s="34" t="s">
        <v>1021</v>
      </c>
      <c r="O467" s="27">
        <v>41462</v>
      </c>
      <c r="P467" s="35">
        <v>1.2991722738500614E-2</v>
      </c>
      <c r="Q467" s="28" t="s">
        <v>100</v>
      </c>
      <c r="R467" s="5">
        <v>-0.2</v>
      </c>
    </row>
    <row r="468" spans="12:18" x14ac:dyDescent="0.4">
      <c r="L468" s="33">
        <v>464</v>
      </c>
      <c r="M468" s="33" t="s">
        <v>1022</v>
      </c>
      <c r="N468" s="34" t="s">
        <v>1023</v>
      </c>
      <c r="O468" s="27">
        <v>44687</v>
      </c>
      <c r="P468" s="35">
        <v>1.4002245767579396E-2</v>
      </c>
      <c r="Q468" s="28" t="s">
        <v>100</v>
      </c>
      <c r="R468" s="5">
        <v>-0.2</v>
      </c>
    </row>
    <row r="469" spans="12:18" x14ac:dyDescent="0.4">
      <c r="L469" s="33">
        <v>465</v>
      </c>
      <c r="M469" s="33" t="s">
        <v>1024</v>
      </c>
      <c r="N469" s="34" t="s">
        <v>1025</v>
      </c>
      <c r="O469" s="27">
        <v>40854</v>
      </c>
      <c r="P469" s="35">
        <v>1.2801211730227777E-2</v>
      </c>
      <c r="Q469" s="28" t="s">
        <v>100</v>
      </c>
      <c r="R469" s="5">
        <v>-0.2</v>
      </c>
    </row>
    <row r="470" spans="12:18" x14ac:dyDescent="0.4">
      <c r="L470" s="33">
        <v>466</v>
      </c>
      <c r="M470" s="33" t="s">
        <v>1026</v>
      </c>
      <c r="N470" s="34" t="s">
        <v>1027</v>
      </c>
      <c r="O470" s="27">
        <v>40746</v>
      </c>
      <c r="P470" s="35">
        <v>1.2767370959021418E-2</v>
      </c>
      <c r="Q470" s="28" t="s">
        <v>100</v>
      </c>
      <c r="R470" s="5">
        <v>-0.2</v>
      </c>
    </row>
    <row r="471" spans="12:18" x14ac:dyDescent="0.4">
      <c r="L471" s="33">
        <v>467</v>
      </c>
      <c r="M471" s="33" t="s">
        <v>1028</v>
      </c>
      <c r="N471" s="34" t="s">
        <v>1029</v>
      </c>
      <c r="O471" s="27">
        <v>40673</v>
      </c>
      <c r="P471" s="35">
        <v>1.2744497104409712E-2</v>
      </c>
      <c r="Q471" s="28" t="s">
        <v>100</v>
      </c>
      <c r="R471" s="5">
        <v>-0.2</v>
      </c>
    </row>
    <row r="472" spans="12:18" x14ac:dyDescent="0.4">
      <c r="L472" s="33">
        <v>468</v>
      </c>
      <c r="M472" s="33" t="s">
        <v>1030</v>
      </c>
      <c r="N472" s="34" t="s">
        <v>1031</v>
      </c>
      <c r="O472" s="27">
        <v>40584</v>
      </c>
      <c r="P472" s="35">
        <v>1.2716609802211879E-2</v>
      </c>
      <c r="Q472" s="28" t="s">
        <v>100</v>
      </c>
      <c r="R472" s="5">
        <v>-0.2</v>
      </c>
    </row>
    <row r="473" spans="12:18" x14ac:dyDescent="0.4">
      <c r="L473" s="33">
        <v>469</v>
      </c>
      <c r="M473" s="33" t="s">
        <v>1032</v>
      </c>
      <c r="N473" s="34" t="s">
        <v>1033</v>
      </c>
      <c r="O473" s="27">
        <v>40464</v>
      </c>
      <c r="P473" s="35">
        <v>1.2679008945315923E-2</v>
      </c>
      <c r="Q473" s="28" t="s">
        <v>100</v>
      </c>
      <c r="R473" s="5">
        <v>-0.2</v>
      </c>
    </row>
    <row r="474" spans="12:18" x14ac:dyDescent="0.4">
      <c r="L474" s="33">
        <v>470</v>
      </c>
      <c r="M474" s="33" t="s">
        <v>1034</v>
      </c>
      <c r="N474" s="34" t="s">
        <v>1035</v>
      </c>
      <c r="O474" s="27">
        <v>40699</v>
      </c>
      <c r="P474" s="35">
        <v>1.2752643956737168E-2</v>
      </c>
      <c r="Q474" s="28" t="s">
        <v>100</v>
      </c>
      <c r="R474" s="5">
        <v>-0.2</v>
      </c>
    </row>
    <row r="475" spans="12:18" x14ac:dyDescent="0.4">
      <c r="L475" s="33">
        <v>471</v>
      </c>
      <c r="M475" s="33" t="s">
        <v>1036</v>
      </c>
      <c r="N475" s="34" t="s">
        <v>1037</v>
      </c>
      <c r="O475" s="27">
        <v>81961</v>
      </c>
      <c r="P475" s="35">
        <v>2.5681698600411192E-2</v>
      </c>
      <c r="Q475" s="28" t="s">
        <v>100</v>
      </c>
      <c r="R475" s="5">
        <v>-0.2</v>
      </c>
    </row>
    <row r="476" spans="12:18" x14ac:dyDescent="0.4">
      <c r="L476" s="33">
        <v>472</v>
      </c>
      <c r="M476" s="33" t="s">
        <v>1038</v>
      </c>
      <c r="N476" s="34" t="s">
        <v>1039</v>
      </c>
      <c r="O476" s="27">
        <v>39683</v>
      </c>
      <c r="P476" s="35">
        <v>1.2434290035018085E-2</v>
      </c>
      <c r="Q476" s="28" t="s">
        <v>100</v>
      </c>
      <c r="R476" s="5">
        <v>-0.2</v>
      </c>
    </row>
    <row r="477" spans="12:18" x14ac:dyDescent="0.4">
      <c r="L477" s="33">
        <v>473</v>
      </c>
      <c r="M477" s="33" t="s">
        <v>1040</v>
      </c>
      <c r="N477" s="34" t="s">
        <v>1041</v>
      </c>
      <c r="O477" s="27">
        <v>39663</v>
      </c>
      <c r="P477" s="35">
        <v>1.2428023225535427E-2</v>
      </c>
      <c r="Q477" s="28" t="s">
        <v>100</v>
      </c>
      <c r="R477" s="5">
        <v>-0.2</v>
      </c>
    </row>
    <row r="478" spans="12:18" x14ac:dyDescent="0.4">
      <c r="L478" s="33">
        <v>474</v>
      </c>
      <c r="M478" s="33" t="s">
        <v>1042</v>
      </c>
      <c r="N478" s="34" t="s">
        <v>1043</v>
      </c>
      <c r="O478" s="27">
        <v>40237</v>
      </c>
      <c r="P478" s="35">
        <v>1.2607880657687743E-2</v>
      </c>
      <c r="Q478" s="28" t="s">
        <v>100</v>
      </c>
      <c r="R478" s="5">
        <v>-0.2</v>
      </c>
    </row>
    <row r="479" spans="12:18" x14ac:dyDescent="0.4">
      <c r="L479" s="33">
        <v>475</v>
      </c>
      <c r="M479" s="33" t="s">
        <v>1044</v>
      </c>
      <c r="N479" s="34" t="s">
        <v>1045</v>
      </c>
      <c r="O479" s="27">
        <v>38766</v>
      </c>
      <c r="P479" s="35">
        <v>1.2146956820238164E-2</v>
      </c>
      <c r="Q479" s="28" t="s">
        <v>100</v>
      </c>
      <c r="R479" s="5">
        <v>-0.2</v>
      </c>
    </row>
    <row r="480" spans="12:18" x14ac:dyDescent="0.4">
      <c r="L480" s="33">
        <v>476</v>
      </c>
      <c r="M480" s="33" t="s">
        <v>1046</v>
      </c>
      <c r="N480" s="34" t="s">
        <v>1047</v>
      </c>
      <c r="O480" s="27">
        <v>40748</v>
      </c>
      <c r="P480" s="35">
        <v>1.2767997639969683E-2</v>
      </c>
      <c r="Q480" s="28" t="s">
        <v>100</v>
      </c>
      <c r="R480" s="5">
        <v>-0.2</v>
      </c>
    </row>
    <row r="481" spans="12:18" x14ac:dyDescent="0.4">
      <c r="L481" s="33">
        <v>477</v>
      </c>
      <c r="M481" s="33" t="s">
        <v>1048</v>
      </c>
      <c r="N481" s="34" t="s">
        <v>1049</v>
      </c>
      <c r="O481" s="27">
        <v>40762</v>
      </c>
      <c r="P481" s="35">
        <v>1.2772384406607544E-2</v>
      </c>
      <c r="Q481" s="28" t="s">
        <v>100</v>
      </c>
      <c r="R481" s="5">
        <v>-0.2</v>
      </c>
    </row>
    <row r="482" spans="12:18" x14ac:dyDescent="0.4">
      <c r="L482" s="33">
        <v>478</v>
      </c>
      <c r="M482" s="33" t="s">
        <v>1050</v>
      </c>
      <c r="N482" s="34" t="s">
        <v>1051</v>
      </c>
      <c r="O482" s="27">
        <v>42071</v>
      </c>
      <c r="P482" s="35">
        <v>1.3182547087247583E-2</v>
      </c>
      <c r="Q482" s="28" t="s">
        <v>100</v>
      </c>
      <c r="R482" s="5">
        <v>-0.2</v>
      </c>
    </row>
    <row r="483" spans="12:18" x14ac:dyDescent="0.4">
      <c r="L483" s="33">
        <v>479</v>
      </c>
      <c r="M483" s="33" t="s">
        <v>1052</v>
      </c>
      <c r="N483" s="34" t="s">
        <v>1053</v>
      </c>
      <c r="O483" s="27">
        <v>37971</v>
      </c>
      <c r="P483" s="35">
        <v>1.1897851143302465E-2</v>
      </c>
      <c r="Q483" s="28" t="s">
        <v>100</v>
      </c>
      <c r="R483" s="5">
        <v>-0.2</v>
      </c>
    </row>
    <row r="484" spans="12:18" x14ac:dyDescent="0.4">
      <c r="L484" s="33">
        <v>480</v>
      </c>
      <c r="M484" s="33" t="s">
        <v>1054</v>
      </c>
      <c r="N484" s="34" t="s">
        <v>1055</v>
      </c>
      <c r="O484" s="27">
        <v>37882</v>
      </c>
      <c r="P484" s="35">
        <v>1.1869963841104631E-2</v>
      </c>
      <c r="Q484" s="28" t="s">
        <v>100</v>
      </c>
      <c r="R484" s="5">
        <v>-0.2</v>
      </c>
    </row>
    <row r="485" spans="12:18" x14ac:dyDescent="0.4">
      <c r="L485" s="33">
        <v>481</v>
      </c>
      <c r="M485" s="33" t="s">
        <v>1056</v>
      </c>
      <c r="N485" s="34" t="s">
        <v>1057</v>
      </c>
      <c r="O485" s="27">
        <v>40039</v>
      </c>
      <c r="P485" s="35">
        <v>1.2545839243809418E-2</v>
      </c>
      <c r="Q485" s="28" t="s">
        <v>100</v>
      </c>
      <c r="R485" s="5">
        <v>-0.2</v>
      </c>
    </row>
    <row r="486" spans="12:18" x14ac:dyDescent="0.4">
      <c r="L486" s="33">
        <v>482</v>
      </c>
      <c r="M486" s="33" t="s">
        <v>1058</v>
      </c>
      <c r="N486" s="34" t="s">
        <v>1059</v>
      </c>
      <c r="O486" s="27">
        <v>37662</v>
      </c>
      <c r="P486" s="35">
        <v>1.1801028936795382E-2</v>
      </c>
      <c r="Q486" s="28" t="s">
        <v>100</v>
      </c>
      <c r="R486" s="5">
        <v>-0.2</v>
      </c>
    </row>
    <row r="487" spans="12:18" x14ac:dyDescent="0.4">
      <c r="L487" s="33">
        <v>483</v>
      </c>
      <c r="M487" s="33" t="s">
        <v>1060</v>
      </c>
      <c r="N487" s="34" t="s">
        <v>1061</v>
      </c>
      <c r="O487" s="27">
        <v>41413</v>
      </c>
      <c r="P487" s="35">
        <v>1.2976369055268099E-2</v>
      </c>
      <c r="Q487" s="28" t="s">
        <v>100</v>
      </c>
      <c r="R487" s="5">
        <v>-0.2</v>
      </c>
    </row>
    <row r="488" spans="12:18" x14ac:dyDescent="0.4">
      <c r="L488" s="33">
        <v>484</v>
      </c>
      <c r="M488" s="33" t="s">
        <v>1062</v>
      </c>
      <c r="N488" s="34" t="s">
        <v>1063</v>
      </c>
      <c r="O488" s="27">
        <v>37265</v>
      </c>
      <c r="P488" s="35">
        <v>1.1676632768564598E-2</v>
      </c>
      <c r="Q488" s="28" t="s">
        <v>100</v>
      </c>
      <c r="R488" s="5">
        <v>-0.2</v>
      </c>
    </row>
    <row r="489" spans="12:18" x14ac:dyDescent="0.4">
      <c r="L489" s="33">
        <v>485</v>
      </c>
      <c r="M489" s="33" t="s">
        <v>1064</v>
      </c>
      <c r="N489" s="34" t="s">
        <v>1065</v>
      </c>
      <c r="O489" s="27">
        <v>37199</v>
      </c>
      <c r="P489" s="35">
        <v>1.1655952297271822E-2</v>
      </c>
      <c r="Q489" s="28" t="s">
        <v>100</v>
      </c>
      <c r="R489" s="5">
        <v>-0.2</v>
      </c>
    </row>
    <row r="490" spans="12:18" x14ac:dyDescent="0.4">
      <c r="L490" s="33">
        <v>486</v>
      </c>
      <c r="M490" s="33" t="s">
        <v>1066</v>
      </c>
      <c r="N490" s="34" t="s">
        <v>1067</v>
      </c>
      <c r="O490" s="27">
        <v>37496</v>
      </c>
      <c r="P490" s="35">
        <v>1.1749014418089312E-2</v>
      </c>
      <c r="Q490" s="28" t="s">
        <v>100</v>
      </c>
      <c r="R490" s="5">
        <v>-0.2</v>
      </c>
    </row>
    <row r="491" spans="12:18" x14ac:dyDescent="0.4">
      <c r="L491" s="33">
        <v>487</v>
      </c>
      <c r="M491" s="33" t="s">
        <v>1068</v>
      </c>
      <c r="N491" s="34" t="s">
        <v>1069</v>
      </c>
      <c r="O491" s="27">
        <v>36987</v>
      </c>
      <c r="P491" s="35">
        <v>1.1589524116755637E-2</v>
      </c>
      <c r="Q491" s="28" t="s">
        <v>100</v>
      </c>
      <c r="R491" s="5">
        <v>-0.2</v>
      </c>
    </row>
    <row r="492" spans="12:18" x14ac:dyDescent="0.4">
      <c r="L492" s="33">
        <v>488</v>
      </c>
      <c r="M492" s="33" t="s">
        <v>1070</v>
      </c>
      <c r="N492" s="34" t="s">
        <v>1071</v>
      </c>
      <c r="O492" s="27">
        <v>36975</v>
      </c>
      <c r="P492" s="35">
        <v>1.158576403106604E-2</v>
      </c>
      <c r="Q492" s="28" t="s">
        <v>100</v>
      </c>
      <c r="R492" s="5">
        <v>-0.2</v>
      </c>
    </row>
    <row r="493" spans="12:18" x14ac:dyDescent="0.4">
      <c r="L493" s="33">
        <v>489</v>
      </c>
      <c r="M493" s="33" t="s">
        <v>1072</v>
      </c>
      <c r="N493" s="34" t="s">
        <v>1073</v>
      </c>
      <c r="O493" s="27">
        <v>39782</v>
      </c>
      <c r="P493" s="35">
        <v>1.2465310741957248E-2</v>
      </c>
      <c r="Q493" s="28" t="s">
        <v>100</v>
      </c>
      <c r="R493" s="5">
        <v>-0.2</v>
      </c>
    </row>
    <row r="494" spans="12:18" x14ac:dyDescent="0.4">
      <c r="L494" s="33">
        <v>490</v>
      </c>
      <c r="M494" s="33" t="s">
        <v>1074</v>
      </c>
      <c r="N494" s="34" t="s">
        <v>1075</v>
      </c>
      <c r="O494" s="27">
        <v>35642</v>
      </c>
      <c r="P494" s="35">
        <v>1.116808117904681E-2</v>
      </c>
      <c r="Q494" s="28" t="s">
        <v>100</v>
      </c>
      <c r="R494" s="5">
        <v>-0.2</v>
      </c>
    </row>
    <row r="495" spans="12:18" x14ac:dyDescent="0.4">
      <c r="L495" s="33">
        <v>491</v>
      </c>
      <c r="M495" s="33" t="s">
        <v>1076</v>
      </c>
      <c r="N495" s="34" t="s">
        <v>1077</v>
      </c>
      <c r="O495" s="27">
        <v>35635</v>
      </c>
      <c r="P495" s="35">
        <v>1.116588779572788E-2</v>
      </c>
      <c r="Q495" s="28" t="s">
        <v>100</v>
      </c>
      <c r="R495" s="5">
        <v>-0.2</v>
      </c>
    </row>
    <row r="496" spans="12:18" x14ac:dyDescent="0.4">
      <c r="L496" s="33">
        <v>492</v>
      </c>
      <c r="M496" s="33" t="s">
        <v>1078</v>
      </c>
      <c r="N496" s="34" t="s">
        <v>1079</v>
      </c>
      <c r="O496" s="27">
        <v>40486</v>
      </c>
      <c r="P496" s="35">
        <v>1.2685902435746849E-2</v>
      </c>
      <c r="Q496" s="28" t="s">
        <v>100</v>
      </c>
      <c r="R496" s="5">
        <v>-0.2</v>
      </c>
    </row>
    <row r="497" spans="12:18" x14ac:dyDescent="0.4">
      <c r="L497" s="33">
        <v>493</v>
      </c>
      <c r="M497" s="33" t="s">
        <v>1080</v>
      </c>
      <c r="N497" s="34" t="s">
        <v>1081</v>
      </c>
      <c r="O497" s="27">
        <v>43146</v>
      </c>
      <c r="P497" s="35">
        <v>1.3519388096940511E-2</v>
      </c>
      <c r="Q497" s="28" t="s">
        <v>100</v>
      </c>
      <c r="R497" s="5">
        <v>-0.2</v>
      </c>
    </row>
    <row r="498" spans="12:18" x14ac:dyDescent="0.4">
      <c r="L498" s="33">
        <v>494</v>
      </c>
      <c r="M498" s="33" t="s">
        <v>1082</v>
      </c>
      <c r="N498" s="34" t="s">
        <v>1083</v>
      </c>
      <c r="O498" s="27">
        <v>36731</v>
      </c>
      <c r="P498" s="35">
        <v>1.1509308955377599E-2</v>
      </c>
      <c r="Q498" s="28" t="s">
        <v>100</v>
      </c>
      <c r="R498" s="5">
        <v>-0.2</v>
      </c>
    </row>
    <row r="499" spans="12:18" x14ac:dyDescent="0.4">
      <c r="L499" s="33">
        <v>495</v>
      </c>
      <c r="M499" s="33" t="s">
        <v>1084</v>
      </c>
      <c r="N499" s="34" t="s">
        <v>1085</v>
      </c>
      <c r="O499" s="27">
        <v>53318</v>
      </c>
      <c r="P499" s="35">
        <v>1.6706687399820938E-2</v>
      </c>
      <c r="Q499" s="28" t="s">
        <v>100</v>
      </c>
      <c r="R499" s="5">
        <v>-0.2</v>
      </c>
    </row>
    <row r="500" spans="12:18" x14ac:dyDescent="0.4">
      <c r="L500" s="33">
        <v>496</v>
      </c>
      <c r="M500" s="33" t="s">
        <v>1086</v>
      </c>
      <c r="N500" s="34" t="s">
        <v>1087</v>
      </c>
      <c r="O500" s="27">
        <v>34304</v>
      </c>
      <c r="P500" s="35">
        <v>1.0748831624656917E-2</v>
      </c>
      <c r="Q500" s="28" t="s">
        <v>100</v>
      </c>
      <c r="R500" s="5">
        <v>-0.2</v>
      </c>
    </row>
    <row r="501" spans="12:18" x14ac:dyDescent="0.4">
      <c r="L501" s="33">
        <v>497</v>
      </c>
      <c r="M501" s="33" t="s">
        <v>1088</v>
      </c>
      <c r="N501" s="34" t="s">
        <v>1089</v>
      </c>
      <c r="O501" s="27">
        <v>34260</v>
      </c>
      <c r="P501" s="35">
        <v>1.0735044643795067E-2</v>
      </c>
      <c r="Q501" s="28" t="s">
        <v>100</v>
      </c>
      <c r="R501" s="5">
        <v>-0.2</v>
      </c>
    </row>
    <row r="502" spans="12:18" x14ac:dyDescent="0.4">
      <c r="L502" s="33">
        <v>498</v>
      </c>
      <c r="M502" s="33" t="s">
        <v>1090</v>
      </c>
      <c r="N502" s="34" t="s">
        <v>1091</v>
      </c>
      <c r="O502" s="27">
        <v>34241</v>
      </c>
      <c r="P502" s="35">
        <v>1.0729091174786539E-2</v>
      </c>
      <c r="Q502" s="28" t="s">
        <v>100</v>
      </c>
      <c r="R502" s="5">
        <v>-0.2</v>
      </c>
    </row>
    <row r="503" spans="12:18" x14ac:dyDescent="0.4">
      <c r="L503" s="33">
        <v>499</v>
      </c>
      <c r="M503" s="33" t="s">
        <v>1092</v>
      </c>
      <c r="N503" s="34" t="s">
        <v>1093</v>
      </c>
      <c r="O503" s="27">
        <v>35477</v>
      </c>
      <c r="P503" s="35">
        <v>1.1116380000814873E-2</v>
      </c>
      <c r="Q503" s="28" t="s">
        <v>100</v>
      </c>
      <c r="R503" s="5">
        <v>-0.2</v>
      </c>
    </row>
    <row r="504" spans="12:18" x14ac:dyDescent="0.4">
      <c r="L504" s="33">
        <v>500</v>
      </c>
      <c r="M504" s="33" t="s">
        <v>1094</v>
      </c>
      <c r="N504" s="34" t="s">
        <v>1095</v>
      </c>
      <c r="O504" s="27">
        <v>69338</v>
      </c>
      <c r="P504" s="35">
        <v>2.1726401795430891E-2</v>
      </c>
      <c r="Q504" s="28" t="s">
        <v>100</v>
      </c>
      <c r="R504" s="5">
        <v>-0.2</v>
      </c>
    </row>
    <row r="505" spans="12:18" x14ac:dyDescent="0.25">
      <c r="L505" s="33">
        <v>501</v>
      </c>
      <c r="M505" s="33" t="s">
        <v>1096</v>
      </c>
      <c r="N505" s="34" t="s">
        <v>1097</v>
      </c>
      <c r="O505" s="36">
        <v>207398</v>
      </c>
      <c r="P505" s="35">
        <v>6.4986187654226771E-2</v>
      </c>
      <c r="Q505" s="28" t="s">
        <v>100</v>
      </c>
      <c r="R505" s="5">
        <v>-0.2</v>
      </c>
    </row>
    <row r="506" spans="12:18" x14ac:dyDescent="0.25">
      <c r="L506" s="33">
        <v>502</v>
      </c>
      <c r="M506" s="33" t="s">
        <v>1098</v>
      </c>
      <c r="N506" s="34" t="s">
        <v>1099</v>
      </c>
      <c r="O506" s="36">
        <v>63830</v>
      </c>
      <c r="P506" s="35">
        <v>2.0000522463906569E-2</v>
      </c>
      <c r="Q506" s="28" t="s">
        <v>100</v>
      </c>
      <c r="R506" s="5">
        <v>-0.2</v>
      </c>
    </row>
    <row r="507" spans="12:18" x14ac:dyDescent="0.25">
      <c r="L507" s="33">
        <v>503</v>
      </c>
      <c r="M507" s="33" t="s">
        <v>1100</v>
      </c>
      <c r="N507" s="34" t="s">
        <v>55</v>
      </c>
      <c r="O507" s="36">
        <v>57780</v>
      </c>
      <c r="P507" s="35">
        <v>1.8104812595402187E-2</v>
      </c>
      <c r="Q507" s="28" t="s">
        <v>100</v>
      </c>
      <c r="R507" s="5">
        <v>-0.2</v>
      </c>
    </row>
    <row r="508" spans="12:18" x14ac:dyDescent="0.25">
      <c r="L508" s="33">
        <v>504</v>
      </c>
      <c r="M508" s="33" t="s">
        <v>1101</v>
      </c>
      <c r="N508" s="34" t="s">
        <v>1102</v>
      </c>
      <c r="O508" s="36">
        <v>38904</v>
      </c>
      <c r="P508" s="35">
        <v>1.2190197805668513E-2</v>
      </c>
      <c r="Q508" s="28" t="s">
        <v>100</v>
      </c>
      <c r="R508" s="5">
        <v>-0.2</v>
      </c>
    </row>
    <row r="509" spans="12:18" x14ac:dyDescent="0.25">
      <c r="L509" s="33">
        <v>505</v>
      </c>
      <c r="M509" s="33" t="s">
        <v>1103</v>
      </c>
      <c r="N509" s="34" t="s">
        <v>1104</v>
      </c>
      <c r="O509" s="36">
        <v>38380</v>
      </c>
      <c r="P509" s="35">
        <v>1.2026007397222843E-2</v>
      </c>
      <c r="Q509" s="28" t="s">
        <v>100</v>
      </c>
      <c r="R509" s="5">
        <v>-0.2</v>
      </c>
    </row>
    <row r="510" spans="12:18" x14ac:dyDescent="0.25">
      <c r="L510" s="33">
        <v>506</v>
      </c>
      <c r="M510" s="33" t="s">
        <v>1105</v>
      </c>
      <c r="N510" s="34" t="s">
        <v>1106</v>
      </c>
      <c r="O510" s="36">
        <v>34584</v>
      </c>
      <c r="P510" s="35">
        <v>1.0836566957414143E-2</v>
      </c>
      <c r="Q510" s="28" t="s">
        <v>100</v>
      </c>
      <c r="R510" s="5">
        <v>-0.2</v>
      </c>
    </row>
    <row r="511" spans="12:18" x14ac:dyDescent="0.25">
      <c r="L511" s="33">
        <v>507</v>
      </c>
      <c r="M511" s="33" t="s">
        <v>1107</v>
      </c>
      <c r="N511" s="34" t="s">
        <v>1108</v>
      </c>
      <c r="O511" s="36">
        <v>31461</v>
      </c>
      <c r="P511" s="35">
        <v>9.8580046566969226E-3</v>
      </c>
      <c r="Q511" s="28" t="s">
        <v>100</v>
      </c>
      <c r="R511" s="5">
        <v>-0.2</v>
      </c>
    </row>
    <row r="512" spans="12:18" x14ac:dyDescent="0.25">
      <c r="L512" s="33">
        <v>508</v>
      </c>
      <c r="M512" s="33" t="s">
        <v>1109</v>
      </c>
      <c r="N512" s="34" t="s">
        <v>1110</v>
      </c>
      <c r="O512" s="36">
        <v>18315</v>
      </c>
      <c r="P512" s="35">
        <v>5.7388307837450856E-3</v>
      </c>
      <c r="Q512" s="28" t="s">
        <v>100</v>
      </c>
      <c r="R512" s="5">
        <v>-0.2</v>
      </c>
    </row>
    <row r="513" spans="12:18" x14ac:dyDescent="0.25">
      <c r="L513" s="33">
        <v>509</v>
      </c>
      <c r="M513" s="33" t="s">
        <v>1111</v>
      </c>
      <c r="N513" s="34" t="s">
        <v>1112</v>
      </c>
      <c r="O513" s="36">
        <v>18219</v>
      </c>
      <c r="P513" s="35">
        <v>5.7087500982283216E-3</v>
      </c>
      <c r="Q513" s="28" t="s">
        <v>100</v>
      </c>
      <c r="R513" s="5">
        <v>-0.2</v>
      </c>
    </row>
    <row r="514" spans="12:18" x14ac:dyDescent="0.25">
      <c r="L514" s="33">
        <v>510</v>
      </c>
      <c r="M514" s="33" t="s">
        <v>1113</v>
      </c>
      <c r="N514" s="34" t="s">
        <v>1114</v>
      </c>
      <c r="O514" s="36">
        <v>18204</v>
      </c>
      <c r="P514" s="35">
        <v>5.7040499911163271E-3</v>
      </c>
      <c r="Q514" s="28" t="s">
        <v>100</v>
      </c>
      <c r="R514" s="5">
        <v>-0.2</v>
      </c>
    </row>
    <row r="515" spans="12:18" x14ac:dyDescent="0.25">
      <c r="L515" s="33">
        <v>511</v>
      </c>
      <c r="M515" s="33" t="s">
        <v>1115</v>
      </c>
      <c r="N515" s="34" t="s">
        <v>1116</v>
      </c>
      <c r="O515" s="36">
        <v>15960</v>
      </c>
      <c r="P515" s="35">
        <v>5.0009139671619747E-3</v>
      </c>
      <c r="Q515" s="28" t="s">
        <v>100</v>
      </c>
      <c r="R515" s="5">
        <v>-0.2</v>
      </c>
    </row>
    <row r="516" spans="12:18" x14ac:dyDescent="0.25">
      <c r="L516" s="33">
        <v>512</v>
      </c>
      <c r="M516" s="33" t="s">
        <v>1117</v>
      </c>
      <c r="N516" s="34" t="s">
        <v>1118</v>
      </c>
      <c r="O516" s="36">
        <v>12630</v>
      </c>
      <c r="P516" s="35">
        <v>3.9574901882992322E-3</v>
      </c>
      <c r="Q516" s="28" t="s">
        <v>100</v>
      </c>
      <c r="R516" s="5">
        <v>-0.2</v>
      </c>
    </row>
    <row r="517" spans="12:18" x14ac:dyDescent="0.25">
      <c r="L517" s="33">
        <v>513</v>
      </c>
      <c r="M517" s="33" t="s">
        <v>1119</v>
      </c>
      <c r="N517" s="34" t="s">
        <v>1120</v>
      </c>
      <c r="O517" s="36">
        <v>11226</v>
      </c>
      <c r="P517" s="35">
        <v>3.517560162616562E-3</v>
      </c>
      <c r="Q517" s="28" t="s">
        <v>100</v>
      </c>
      <c r="R517" s="5">
        <v>-0.2</v>
      </c>
    </row>
    <row r="518" spans="12:18" x14ac:dyDescent="0.25">
      <c r="L518" s="33">
        <v>514</v>
      </c>
      <c r="M518" s="33" t="s">
        <v>1121</v>
      </c>
      <c r="N518" s="34" t="s">
        <v>1122</v>
      </c>
      <c r="O518" s="36">
        <v>10868</v>
      </c>
      <c r="P518" s="35">
        <v>3.4053842728769637E-3</v>
      </c>
      <c r="Q518" s="28" t="s">
        <v>100</v>
      </c>
      <c r="R518" s="5">
        <v>-0.2</v>
      </c>
    </row>
    <row r="519" spans="12:18" x14ac:dyDescent="0.25">
      <c r="L519" s="33">
        <v>515</v>
      </c>
      <c r="M519" s="33" t="s">
        <v>1123</v>
      </c>
      <c r="N519" s="34" t="s">
        <v>1124</v>
      </c>
      <c r="O519" s="36">
        <v>10653</v>
      </c>
      <c r="P519" s="35">
        <v>3.3380160709383781E-3</v>
      </c>
      <c r="Q519" s="28" t="s">
        <v>100</v>
      </c>
      <c r="R519" s="5">
        <v>-0.2</v>
      </c>
    </row>
    <row r="520" spans="12:18" x14ac:dyDescent="0.25">
      <c r="L520" s="33">
        <v>516</v>
      </c>
      <c r="M520" s="33" t="s">
        <v>1125</v>
      </c>
      <c r="N520" s="34" t="s">
        <v>1126</v>
      </c>
      <c r="O520" s="36">
        <v>10628</v>
      </c>
      <c r="P520" s="35">
        <v>3.3301825590850544E-3</v>
      </c>
      <c r="Q520" s="28" t="s">
        <v>100</v>
      </c>
      <c r="R520" s="5">
        <v>-0.2</v>
      </c>
    </row>
    <row r="521" spans="12:18" x14ac:dyDescent="0.25">
      <c r="L521" s="33">
        <v>517</v>
      </c>
      <c r="M521" s="33" t="s">
        <v>1127</v>
      </c>
      <c r="N521" s="34" t="s">
        <v>1128</v>
      </c>
      <c r="O521" s="36">
        <v>10445</v>
      </c>
      <c r="P521" s="35">
        <v>3.2728412523187235E-3</v>
      </c>
      <c r="Q521" s="28" t="s">
        <v>100</v>
      </c>
      <c r="R521" s="5">
        <v>-0.2</v>
      </c>
    </row>
    <row r="522" spans="12:18" x14ac:dyDescent="0.25">
      <c r="L522" s="33">
        <v>518</v>
      </c>
      <c r="M522" s="33" t="s">
        <v>1129</v>
      </c>
      <c r="N522" s="34" t="s">
        <v>1130</v>
      </c>
      <c r="O522" s="36">
        <v>10236</v>
      </c>
      <c r="P522" s="35">
        <v>3.2073530932249356E-3</v>
      </c>
      <c r="Q522" s="28" t="s">
        <v>100</v>
      </c>
      <c r="R522" s="5">
        <v>-0.2</v>
      </c>
    </row>
    <row r="523" spans="12:18" x14ac:dyDescent="0.25">
      <c r="L523" s="33">
        <v>519</v>
      </c>
      <c r="M523" s="33" t="s">
        <v>1131</v>
      </c>
      <c r="N523" s="34" t="s">
        <v>1132</v>
      </c>
      <c r="O523" s="36">
        <v>10180</v>
      </c>
      <c r="P523" s="35">
        <v>3.1898060266734901E-3</v>
      </c>
      <c r="Q523" s="28" t="s">
        <v>100</v>
      </c>
      <c r="R523" s="5">
        <v>-0.2</v>
      </c>
    </row>
    <row r="524" spans="12:18" x14ac:dyDescent="0.25">
      <c r="L524" s="33">
        <v>520</v>
      </c>
      <c r="M524" s="33" t="s">
        <v>1133</v>
      </c>
      <c r="N524" s="34" t="s">
        <v>1134</v>
      </c>
      <c r="O524" s="36">
        <v>9903</v>
      </c>
      <c r="P524" s="35">
        <v>3.1030107153386614E-3</v>
      </c>
      <c r="Q524" s="28" t="s">
        <v>100</v>
      </c>
      <c r="R524" s="5">
        <v>-0.2</v>
      </c>
    </row>
    <row r="525" spans="12:18" x14ac:dyDescent="0.25">
      <c r="L525" s="33">
        <v>521</v>
      </c>
      <c r="M525" s="33" t="s">
        <v>1135</v>
      </c>
      <c r="N525" s="34" t="s">
        <v>1136</v>
      </c>
      <c r="O525" s="36">
        <v>9664</v>
      </c>
      <c r="P525" s="35">
        <v>3.028122342020885E-3</v>
      </c>
      <c r="Q525" s="28" t="s">
        <v>100</v>
      </c>
      <c r="R525" s="5">
        <v>-0.2</v>
      </c>
    </row>
    <row r="526" spans="12:18" x14ac:dyDescent="0.25">
      <c r="L526" s="33">
        <v>522</v>
      </c>
      <c r="M526" s="33" t="s">
        <v>1137</v>
      </c>
      <c r="N526" s="34" t="s">
        <v>1138</v>
      </c>
      <c r="O526" s="36">
        <v>9626</v>
      </c>
      <c r="P526" s="35">
        <v>3.0162154040038326E-3</v>
      </c>
      <c r="Q526" s="28" t="s">
        <v>100</v>
      </c>
      <c r="R526" s="5">
        <v>-0.2</v>
      </c>
    </row>
    <row r="527" spans="12:18" x14ac:dyDescent="0.25">
      <c r="L527" s="33">
        <v>523</v>
      </c>
      <c r="M527" s="33" t="s">
        <v>1139</v>
      </c>
      <c r="N527" s="34" t="s">
        <v>1140</v>
      </c>
      <c r="O527" s="36">
        <v>9425</v>
      </c>
      <c r="P527" s="35">
        <v>2.9532339687031086E-3</v>
      </c>
      <c r="Q527" s="28" t="s">
        <v>100</v>
      </c>
      <c r="R527" s="5">
        <v>-0.2</v>
      </c>
    </row>
    <row r="528" spans="12:18" x14ac:dyDescent="0.25">
      <c r="L528" s="33">
        <v>524</v>
      </c>
      <c r="M528" s="33" t="s">
        <v>1141</v>
      </c>
      <c r="N528" s="34" t="s">
        <v>1142</v>
      </c>
      <c r="O528" s="36">
        <v>9319</v>
      </c>
      <c r="P528" s="35">
        <v>2.9200198784450153E-3</v>
      </c>
      <c r="Q528" s="28" t="s">
        <v>100</v>
      </c>
      <c r="R528" s="5">
        <v>-0.2</v>
      </c>
    </row>
    <row r="529" spans="12:18" x14ac:dyDescent="0.25">
      <c r="L529" s="33">
        <v>525</v>
      </c>
      <c r="M529" s="33" t="s">
        <v>1143</v>
      </c>
      <c r="N529" s="34" t="s">
        <v>1144</v>
      </c>
      <c r="O529" s="36">
        <v>9169</v>
      </c>
      <c r="P529" s="35">
        <v>2.873018807325072E-3</v>
      </c>
      <c r="Q529" s="28" t="s">
        <v>100</v>
      </c>
      <c r="R529" s="5">
        <v>-0.2</v>
      </c>
    </row>
    <row r="530" spans="12:18" x14ac:dyDescent="0.25">
      <c r="L530" s="33">
        <v>526</v>
      </c>
      <c r="M530" s="33" t="s">
        <v>1145</v>
      </c>
      <c r="N530" s="34" t="s">
        <v>1146</v>
      </c>
      <c r="O530" s="36">
        <v>8908</v>
      </c>
      <c r="P530" s="35">
        <v>2.7912369435763701E-3</v>
      </c>
      <c r="Q530" s="28" t="s">
        <v>100</v>
      </c>
      <c r="R530" s="5">
        <v>-0.2</v>
      </c>
    </row>
    <row r="531" spans="12:18" x14ac:dyDescent="0.25">
      <c r="L531" s="33">
        <v>527</v>
      </c>
      <c r="M531" s="33" t="s">
        <v>1147</v>
      </c>
      <c r="N531" s="34" t="s">
        <v>1148</v>
      </c>
      <c r="O531" s="36">
        <v>8851</v>
      </c>
      <c r="P531" s="35">
        <v>2.7733765365507918E-3</v>
      </c>
      <c r="Q531" s="28" t="s">
        <v>100</v>
      </c>
      <c r="R531" s="5">
        <v>-0.2</v>
      </c>
    </row>
    <row r="532" spans="12:18" x14ac:dyDescent="0.25">
      <c r="L532" s="33">
        <v>528</v>
      </c>
      <c r="M532" s="33" t="s">
        <v>1149</v>
      </c>
      <c r="N532" s="34" t="s">
        <v>54</v>
      </c>
      <c r="O532" s="36">
        <v>8351</v>
      </c>
      <c r="P532" s="35">
        <v>2.616706299484314E-3</v>
      </c>
      <c r="Q532" s="28" t="s">
        <v>100</v>
      </c>
      <c r="R532" s="5">
        <v>-0.2</v>
      </c>
    </row>
    <row r="533" spans="12:18" x14ac:dyDescent="0.25">
      <c r="L533" s="33">
        <v>529</v>
      </c>
      <c r="M533" s="33" t="s">
        <v>1150</v>
      </c>
      <c r="N533" s="34" t="s">
        <v>1151</v>
      </c>
      <c r="O533" s="36">
        <v>8069</v>
      </c>
      <c r="P533" s="35">
        <v>2.5283442857788204E-3</v>
      </c>
      <c r="Q533" s="28" t="s">
        <v>100</v>
      </c>
      <c r="R533" s="5">
        <v>-0.2</v>
      </c>
    </row>
    <row r="534" spans="12:18" x14ac:dyDescent="0.25">
      <c r="L534" s="33">
        <v>530</v>
      </c>
      <c r="M534" s="33" t="s">
        <v>1152</v>
      </c>
      <c r="N534" s="34" t="s">
        <v>1153</v>
      </c>
      <c r="O534" s="36">
        <v>8012</v>
      </c>
      <c r="P534" s="35">
        <v>2.510483878753242E-3</v>
      </c>
      <c r="Q534" s="28" t="s">
        <v>100</v>
      </c>
      <c r="R534" s="5">
        <v>-0.2</v>
      </c>
    </row>
    <row r="535" spans="12:18" x14ac:dyDescent="0.25">
      <c r="L535" s="33">
        <v>531</v>
      </c>
      <c r="M535" s="33" t="s">
        <v>1154</v>
      </c>
      <c r="N535" s="34" t="s">
        <v>1155</v>
      </c>
      <c r="O535" s="36">
        <v>7267</v>
      </c>
      <c r="P535" s="35">
        <v>2.2770452255241897E-3</v>
      </c>
      <c r="Q535" s="28" t="s">
        <v>100</v>
      </c>
      <c r="R535" s="5">
        <v>-0.2</v>
      </c>
    </row>
    <row r="536" spans="12:18" x14ac:dyDescent="0.25">
      <c r="L536" s="33">
        <v>532</v>
      </c>
      <c r="M536" s="33" t="s">
        <v>1156</v>
      </c>
      <c r="N536" s="34" t="s">
        <v>1157</v>
      </c>
      <c r="O536" s="36">
        <v>7120</v>
      </c>
      <c r="P536" s="35">
        <v>2.2309841758266454E-3</v>
      </c>
      <c r="Q536" s="28" t="s">
        <v>100</v>
      </c>
      <c r="R536" s="5">
        <v>-0.2</v>
      </c>
    </row>
    <row r="537" spans="12:18" x14ac:dyDescent="0.25">
      <c r="L537" s="33">
        <v>533</v>
      </c>
      <c r="M537" s="33" t="s">
        <v>1158</v>
      </c>
      <c r="N537" s="34" t="s">
        <v>1159</v>
      </c>
      <c r="O537" s="36">
        <v>7092</v>
      </c>
      <c r="P537" s="35">
        <v>2.2222106425509227E-3</v>
      </c>
      <c r="Q537" s="28" t="s">
        <v>100</v>
      </c>
      <c r="R537" s="5">
        <v>-0.2</v>
      </c>
    </row>
    <row r="538" spans="12:18" x14ac:dyDescent="0.25">
      <c r="L538" s="33">
        <v>534</v>
      </c>
      <c r="M538" s="33" t="s">
        <v>1160</v>
      </c>
      <c r="N538" s="34" t="s">
        <v>1161</v>
      </c>
      <c r="O538" s="36">
        <v>6986</v>
      </c>
      <c r="P538" s="35">
        <v>2.1889965522928294E-3</v>
      </c>
      <c r="Q538" s="28" t="s">
        <v>100</v>
      </c>
      <c r="R538" s="5">
        <v>-0.2</v>
      </c>
    </row>
    <row r="539" spans="12:18" x14ac:dyDescent="0.25">
      <c r="L539" s="33">
        <v>535</v>
      </c>
      <c r="M539" s="33" t="s">
        <v>1162</v>
      </c>
      <c r="N539" s="34" t="s">
        <v>1163</v>
      </c>
      <c r="O539" s="36">
        <v>6966</v>
      </c>
      <c r="P539" s="35">
        <v>2.1827297428101702E-3</v>
      </c>
      <c r="Q539" s="28" t="s">
        <v>100</v>
      </c>
      <c r="R539" s="5">
        <v>-0.2</v>
      </c>
    </row>
    <row r="540" spans="12:18" x14ac:dyDescent="0.25">
      <c r="L540" s="33">
        <v>536</v>
      </c>
      <c r="M540" s="33" t="s">
        <v>1164</v>
      </c>
      <c r="N540" s="34" t="s">
        <v>1165</v>
      </c>
      <c r="O540" s="36">
        <v>6747</v>
      </c>
      <c r="P540" s="35">
        <v>2.1141081789750531E-3</v>
      </c>
      <c r="Q540" s="28" t="s">
        <v>100</v>
      </c>
      <c r="R540" s="5">
        <v>-0.2</v>
      </c>
    </row>
    <row r="541" spans="12:18" x14ac:dyDescent="0.25">
      <c r="L541" s="33">
        <v>537</v>
      </c>
      <c r="M541" s="33" t="s">
        <v>1166</v>
      </c>
      <c r="N541" s="34" t="s">
        <v>1167</v>
      </c>
      <c r="O541" s="36">
        <v>6606</v>
      </c>
      <c r="P541" s="35">
        <v>2.069927172122306E-3</v>
      </c>
      <c r="Q541" s="28" t="s">
        <v>100</v>
      </c>
      <c r="R541" s="5">
        <v>-0.2</v>
      </c>
    </row>
    <row r="542" spans="12:18" x14ac:dyDescent="0.25">
      <c r="L542" s="33">
        <v>538</v>
      </c>
      <c r="M542" s="33" t="s">
        <v>1168</v>
      </c>
      <c r="N542" s="34" t="s">
        <v>1169</v>
      </c>
      <c r="O542" s="36">
        <v>6422</v>
      </c>
      <c r="P542" s="35">
        <v>2.0122725248818423E-3</v>
      </c>
      <c r="Q542" s="28" t="s">
        <v>100</v>
      </c>
      <c r="R542" s="5">
        <v>-0.2</v>
      </c>
    </row>
    <row r="543" spans="12:18" x14ac:dyDescent="0.25">
      <c r="L543" s="33">
        <v>539</v>
      </c>
      <c r="M543" s="33" t="s">
        <v>1170</v>
      </c>
      <c r="N543" s="34" t="s">
        <v>1171</v>
      </c>
      <c r="O543" s="36">
        <v>6190</v>
      </c>
      <c r="P543" s="35">
        <v>1.9395775348829965E-3</v>
      </c>
      <c r="Q543" s="28" t="s">
        <v>100</v>
      </c>
      <c r="R543" s="5">
        <v>-0.2</v>
      </c>
    </row>
    <row r="544" spans="12:18" x14ac:dyDescent="0.25">
      <c r="L544" s="33">
        <v>540</v>
      </c>
      <c r="M544" s="33" t="s">
        <v>1172</v>
      </c>
      <c r="N544" s="34" t="s">
        <v>1173</v>
      </c>
      <c r="O544" s="36">
        <v>6075</v>
      </c>
      <c r="P544" s="35">
        <v>1.9035433803577066E-3</v>
      </c>
      <c r="Q544" s="28" t="s">
        <v>100</v>
      </c>
      <c r="R544" s="5">
        <v>-0.2</v>
      </c>
    </row>
    <row r="545" spans="12:18" x14ac:dyDescent="0.25">
      <c r="L545" s="33">
        <v>541</v>
      </c>
      <c r="M545" s="33" t="s">
        <v>1174</v>
      </c>
      <c r="N545" s="34" t="s">
        <v>1175</v>
      </c>
      <c r="O545" s="36">
        <v>5869</v>
      </c>
      <c r="P545" s="35">
        <v>1.8389952426863176E-3</v>
      </c>
      <c r="Q545" s="28" t="s">
        <v>100</v>
      </c>
      <c r="R545" s="5">
        <v>-0.2</v>
      </c>
    </row>
    <row r="546" spans="12:18" x14ac:dyDescent="0.25">
      <c r="L546" s="33">
        <v>542</v>
      </c>
      <c r="M546" s="33" t="s">
        <v>1176</v>
      </c>
      <c r="N546" s="34" t="s">
        <v>1177</v>
      </c>
      <c r="O546" s="36">
        <v>5868</v>
      </c>
      <c r="P546" s="35">
        <v>1.8386819022121847E-3</v>
      </c>
      <c r="Q546" s="28" t="s">
        <v>100</v>
      </c>
      <c r="R546" s="5">
        <v>-0.2</v>
      </c>
    </row>
    <row r="547" spans="12:18" x14ac:dyDescent="0.25">
      <c r="L547" s="33">
        <v>543</v>
      </c>
      <c r="M547" s="33" t="s">
        <v>1178</v>
      </c>
      <c r="N547" s="34" t="s">
        <v>1179</v>
      </c>
      <c r="O547" s="36">
        <v>5828</v>
      </c>
      <c r="P547" s="35">
        <v>1.8261482832468664E-3</v>
      </c>
      <c r="Q547" s="28" t="s">
        <v>100</v>
      </c>
      <c r="R547" s="5">
        <v>-0.2</v>
      </c>
    </row>
    <row r="548" spans="12:18" x14ac:dyDescent="0.25">
      <c r="L548" s="33">
        <v>544</v>
      </c>
      <c r="M548" s="33" t="s">
        <v>1180</v>
      </c>
      <c r="N548" s="34" t="s">
        <v>1181</v>
      </c>
      <c r="O548" s="36">
        <v>5603</v>
      </c>
      <c r="P548" s="35">
        <v>1.7556466765669514E-3</v>
      </c>
      <c r="Q548" s="28" t="s">
        <v>100</v>
      </c>
      <c r="R548" s="5">
        <v>-0.2</v>
      </c>
    </row>
    <row r="549" spans="12:18" x14ac:dyDescent="0.25">
      <c r="L549" s="33">
        <v>545</v>
      </c>
      <c r="M549" s="33" t="s">
        <v>1182</v>
      </c>
      <c r="N549" s="34" t="s">
        <v>44</v>
      </c>
      <c r="O549" s="36">
        <v>5596</v>
      </c>
      <c r="P549" s="35">
        <v>1.7534532932480208E-3</v>
      </c>
      <c r="Q549" s="28" t="s">
        <v>100</v>
      </c>
      <c r="R549" s="5">
        <v>-0.2</v>
      </c>
    </row>
    <row r="550" spans="12:18" x14ac:dyDescent="0.25">
      <c r="L550" s="33">
        <v>546</v>
      </c>
      <c r="M550" s="33" t="s">
        <v>1183</v>
      </c>
      <c r="N550" s="34" t="s">
        <v>1184</v>
      </c>
      <c r="O550" s="36">
        <v>5519</v>
      </c>
      <c r="P550" s="35">
        <v>1.7293260767397831E-3</v>
      </c>
      <c r="Q550" s="28" t="s">
        <v>100</v>
      </c>
      <c r="R550" s="5">
        <v>-0.2</v>
      </c>
    </row>
    <row r="551" spans="12:18" x14ac:dyDescent="0.25">
      <c r="L551" s="33">
        <v>547</v>
      </c>
      <c r="M551" s="33" t="s">
        <v>1185</v>
      </c>
      <c r="N551" s="34" t="s">
        <v>1186</v>
      </c>
      <c r="O551" s="36">
        <v>5482</v>
      </c>
      <c r="P551" s="35">
        <v>1.7177324791968636E-3</v>
      </c>
      <c r="Q551" s="28" t="s">
        <v>100</v>
      </c>
      <c r="R551" s="5">
        <v>-0.2</v>
      </c>
    </row>
    <row r="552" spans="12:18" x14ac:dyDescent="0.25">
      <c r="L552" s="33">
        <v>548</v>
      </c>
      <c r="M552" s="33" t="s">
        <v>1187</v>
      </c>
      <c r="N552" s="34" t="s">
        <v>1188</v>
      </c>
      <c r="O552" s="36">
        <v>5476</v>
      </c>
      <c r="P552" s="35">
        <v>1.7158524363520659E-3</v>
      </c>
      <c r="Q552" s="28" t="s">
        <v>100</v>
      </c>
      <c r="R552" s="5">
        <v>-0.2</v>
      </c>
    </row>
    <row r="553" spans="12:18" x14ac:dyDescent="0.25">
      <c r="L553" s="33">
        <v>549</v>
      </c>
      <c r="M553" s="33" t="s">
        <v>1189</v>
      </c>
      <c r="N553" s="34" t="s">
        <v>1190</v>
      </c>
      <c r="O553" s="36">
        <v>5354</v>
      </c>
      <c r="P553" s="35">
        <v>1.6776248985078453E-3</v>
      </c>
      <c r="Q553" s="28" t="s">
        <v>100</v>
      </c>
      <c r="R553" s="5">
        <v>-0.2</v>
      </c>
    </row>
    <row r="554" spans="12:18" x14ac:dyDescent="0.25">
      <c r="L554" s="33">
        <v>550</v>
      </c>
      <c r="M554" s="33" t="s">
        <v>1191</v>
      </c>
      <c r="N554" s="34" t="s">
        <v>1192</v>
      </c>
      <c r="O554" s="36">
        <v>5336</v>
      </c>
      <c r="P554" s="35">
        <v>1.6719847699734522E-3</v>
      </c>
      <c r="Q554" s="28" t="s">
        <v>100</v>
      </c>
      <c r="R554" s="5">
        <v>-0.2</v>
      </c>
    </row>
    <row r="555" spans="12:18" x14ac:dyDescent="0.25">
      <c r="L555" s="33">
        <v>551</v>
      </c>
      <c r="M555" s="33" t="s">
        <v>1193</v>
      </c>
      <c r="N555" s="34" t="s">
        <v>1194</v>
      </c>
      <c r="O555" s="36">
        <v>5301</v>
      </c>
      <c r="P555" s="35">
        <v>1.6610178533787987E-3</v>
      </c>
      <c r="Q555" s="28" t="s">
        <v>100</v>
      </c>
      <c r="R555" s="5">
        <v>-0.2</v>
      </c>
    </row>
    <row r="556" spans="12:18" x14ac:dyDescent="0.25">
      <c r="L556" s="33">
        <v>552</v>
      </c>
      <c r="M556" s="33" t="s">
        <v>1195</v>
      </c>
      <c r="N556" s="34" t="s">
        <v>40</v>
      </c>
      <c r="O556" s="36">
        <v>5261</v>
      </c>
      <c r="P556" s="35">
        <v>1.6484842344134806E-3</v>
      </c>
      <c r="Q556" s="28" t="s">
        <v>100</v>
      </c>
      <c r="R556" s="5">
        <v>-0.2</v>
      </c>
    </row>
    <row r="557" spans="12:18" x14ac:dyDescent="0.25">
      <c r="L557" s="33">
        <v>553</v>
      </c>
      <c r="M557" s="33" t="s">
        <v>1196</v>
      </c>
      <c r="N557" s="34" t="s">
        <v>1197</v>
      </c>
      <c r="O557" s="36">
        <v>5258</v>
      </c>
      <c r="P557" s="35">
        <v>1.6475442129910817E-3</v>
      </c>
      <c r="Q557" s="28" t="s">
        <v>100</v>
      </c>
      <c r="R557" s="5">
        <v>-0.2</v>
      </c>
    </row>
    <row r="558" spans="12:18" x14ac:dyDescent="0.25">
      <c r="L558" s="33">
        <v>554</v>
      </c>
      <c r="M558" s="33" t="s">
        <v>1198</v>
      </c>
      <c r="N558" s="34" t="s">
        <v>1199</v>
      </c>
      <c r="O558" s="36">
        <v>5255</v>
      </c>
      <c r="P558" s="35">
        <v>1.6466041915686829E-3</v>
      </c>
      <c r="Q558" s="28" t="s">
        <v>100</v>
      </c>
      <c r="R558" s="5">
        <v>-0.2</v>
      </c>
    </row>
    <row r="559" spans="12:18" x14ac:dyDescent="0.25">
      <c r="L559" s="33">
        <v>555</v>
      </c>
      <c r="M559" s="33" t="s">
        <v>1200</v>
      </c>
      <c r="N559" s="34" t="s">
        <v>1201</v>
      </c>
      <c r="O559" s="36">
        <v>5071</v>
      </c>
      <c r="P559" s="35">
        <v>1.5889495443282189E-3</v>
      </c>
      <c r="Q559" s="28" t="s">
        <v>100</v>
      </c>
      <c r="R559" s="5">
        <v>-0.2</v>
      </c>
    </row>
    <row r="560" spans="12:18" x14ac:dyDescent="0.25">
      <c r="L560" s="33">
        <v>556</v>
      </c>
      <c r="M560" s="33" t="s">
        <v>1202</v>
      </c>
      <c r="N560" s="34" t="s">
        <v>1203</v>
      </c>
      <c r="O560" s="36">
        <v>5070</v>
      </c>
      <c r="P560" s="35">
        <v>1.588636203854086E-3</v>
      </c>
      <c r="Q560" s="28" t="s">
        <v>100</v>
      </c>
      <c r="R560" s="5">
        <v>-0.2</v>
      </c>
    </row>
    <row r="561" spans="12:18" x14ac:dyDescent="0.25">
      <c r="L561" s="33">
        <v>557</v>
      </c>
      <c r="M561" s="33" t="s">
        <v>1204</v>
      </c>
      <c r="N561" s="34" t="s">
        <v>1205</v>
      </c>
      <c r="O561" s="36">
        <v>4901</v>
      </c>
      <c r="P561" s="35">
        <v>1.5356816637256165E-3</v>
      </c>
      <c r="Q561" s="28" t="s">
        <v>100</v>
      </c>
      <c r="R561" s="5">
        <v>-0.2</v>
      </c>
    </row>
    <row r="562" spans="12:18" x14ac:dyDescent="0.25">
      <c r="L562" s="33">
        <v>558</v>
      </c>
      <c r="M562" s="33" t="s">
        <v>1206</v>
      </c>
      <c r="N562" s="34" t="s">
        <v>51</v>
      </c>
      <c r="O562" s="36">
        <v>4843</v>
      </c>
      <c r="P562" s="35">
        <v>1.517507916225905E-3</v>
      </c>
      <c r="Q562" s="28" t="s">
        <v>100</v>
      </c>
      <c r="R562" s="5">
        <v>-0.2</v>
      </c>
    </row>
    <row r="563" spans="12:18" x14ac:dyDescent="0.25">
      <c r="L563" s="33">
        <v>559</v>
      </c>
      <c r="M563" s="33" t="s">
        <v>1207</v>
      </c>
      <c r="N563" s="34" t="s">
        <v>1208</v>
      </c>
      <c r="O563" s="36">
        <v>4838</v>
      </c>
      <c r="P563" s="35">
        <v>1.5159412138552402E-3</v>
      </c>
      <c r="Q563" s="28" t="s">
        <v>100</v>
      </c>
      <c r="R563" s="5">
        <v>-0.2</v>
      </c>
    </row>
    <row r="564" spans="12:18" x14ac:dyDescent="0.25">
      <c r="L564" s="33">
        <v>560</v>
      </c>
      <c r="M564" s="33" t="s">
        <v>1209</v>
      </c>
      <c r="N564" s="34" t="s">
        <v>1210</v>
      </c>
      <c r="O564" s="36">
        <v>4799</v>
      </c>
      <c r="P564" s="35">
        <v>1.5037209353640549E-3</v>
      </c>
      <c r="Q564" s="28" t="s">
        <v>100</v>
      </c>
      <c r="R564" s="5">
        <v>-0.2</v>
      </c>
    </row>
    <row r="565" spans="12:18" x14ac:dyDescent="0.25">
      <c r="L565" s="33">
        <v>561</v>
      </c>
      <c r="M565" s="33" t="s">
        <v>1211</v>
      </c>
      <c r="N565" s="34" t="s">
        <v>1212</v>
      </c>
      <c r="O565" s="36">
        <v>4653</v>
      </c>
      <c r="P565" s="35">
        <v>1.4579732261406433E-3</v>
      </c>
      <c r="Q565" s="28" t="s">
        <v>100</v>
      </c>
      <c r="R565" s="5">
        <v>-0.2</v>
      </c>
    </row>
    <row r="566" spans="12:18" x14ac:dyDescent="0.25">
      <c r="L566" s="33">
        <v>562</v>
      </c>
      <c r="M566" s="33" t="s">
        <v>1213</v>
      </c>
      <c r="N566" s="34" t="s">
        <v>1214</v>
      </c>
      <c r="O566" s="36">
        <v>4635</v>
      </c>
      <c r="P566" s="35">
        <v>1.4523330976062502E-3</v>
      </c>
      <c r="Q566" s="28" t="s">
        <v>100</v>
      </c>
      <c r="R566" s="5">
        <v>-0.2</v>
      </c>
    </row>
    <row r="567" spans="12:18" x14ac:dyDescent="0.25">
      <c r="L567" s="33">
        <v>563</v>
      </c>
      <c r="M567" s="33" t="s">
        <v>1215</v>
      </c>
      <c r="N567" s="34" t="s">
        <v>1216</v>
      </c>
      <c r="O567" s="36">
        <v>4618</v>
      </c>
      <c r="P567" s="35">
        <v>1.44700630954599E-3</v>
      </c>
      <c r="Q567" s="28" t="s">
        <v>100</v>
      </c>
      <c r="R567" s="5">
        <v>-0.2</v>
      </c>
    </row>
    <row r="568" spans="12:18" x14ac:dyDescent="0.25">
      <c r="L568" s="33">
        <v>564</v>
      </c>
      <c r="M568" s="33" t="s">
        <v>1217</v>
      </c>
      <c r="N568" s="34" t="s">
        <v>1218</v>
      </c>
      <c r="O568" s="36">
        <v>4598</v>
      </c>
      <c r="P568" s="35">
        <v>1.4407395000633307E-3</v>
      </c>
      <c r="Q568" s="28" t="s">
        <v>100</v>
      </c>
      <c r="R568" s="5">
        <v>-0.2</v>
      </c>
    </row>
    <row r="569" spans="12:18" x14ac:dyDescent="0.25">
      <c r="L569" s="33">
        <v>565</v>
      </c>
      <c r="M569" s="33" t="s">
        <v>1219</v>
      </c>
      <c r="N569" s="34" t="s">
        <v>1220</v>
      </c>
      <c r="O569" s="36">
        <v>4495</v>
      </c>
      <c r="P569" s="35">
        <v>1.4084654312276363E-3</v>
      </c>
      <c r="Q569" s="28" t="s">
        <v>100</v>
      </c>
      <c r="R569" s="5">
        <v>-0.2</v>
      </c>
    </row>
    <row r="570" spans="12:18" x14ac:dyDescent="0.25">
      <c r="L570" s="33">
        <v>566</v>
      </c>
      <c r="M570" s="33" t="s">
        <v>1221</v>
      </c>
      <c r="N570" s="34" t="s">
        <v>1222</v>
      </c>
      <c r="O570" s="36">
        <v>4461</v>
      </c>
      <c r="P570" s="35">
        <v>1.3978118551071159E-3</v>
      </c>
      <c r="Q570" s="28" t="s">
        <v>100</v>
      </c>
      <c r="R570" s="5">
        <v>-0.2</v>
      </c>
    </row>
    <row r="571" spans="12:18" x14ac:dyDescent="0.25">
      <c r="L571" s="33">
        <v>567</v>
      </c>
      <c r="M571" s="33" t="s">
        <v>1223</v>
      </c>
      <c r="N571" s="34" t="s">
        <v>1224</v>
      </c>
      <c r="O571" s="36">
        <v>4431</v>
      </c>
      <c r="P571" s="35">
        <v>1.3884116408831272E-3</v>
      </c>
      <c r="Q571" s="28" t="s">
        <v>100</v>
      </c>
      <c r="R571" s="5">
        <v>-0.2</v>
      </c>
    </row>
    <row r="572" spans="12:18" x14ac:dyDescent="0.25">
      <c r="L572" s="33">
        <v>568</v>
      </c>
      <c r="M572" s="33" t="s">
        <v>1225</v>
      </c>
      <c r="N572" s="34" t="s">
        <v>1226</v>
      </c>
      <c r="O572" s="36">
        <v>4409</v>
      </c>
      <c r="P572" s="35">
        <v>1.3815181504522021E-3</v>
      </c>
      <c r="Q572" s="28" t="s">
        <v>100</v>
      </c>
      <c r="R572" s="5">
        <v>-0.2</v>
      </c>
    </row>
    <row r="573" spans="12:18" x14ac:dyDescent="0.25">
      <c r="L573" s="33">
        <v>569</v>
      </c>
      <c r="M573" s="33" t="s">
        <v>1227</v>
      </c>
      <c r="N573" s="34" t="s">
        <v>1228</v>
      </c>
      <c r="O573" s="36">
        <v>4408</v>
      </c>
      <c r="P573" s="35">
        <v>1.3812048099780692E-3</v>
      </c>
      <c r="Q573" s="28" t="s">
        <v>100</v>
      </c>
      <c r="R573" s="5">
        <v>-0.2</v>
      </c>
    </row>
    <row r="574" spans="12:18" x14ac:dyDescent="0.25">
      <c r="L574" s="33">
        <v>570</v>
      </c>
      <c r="M574" s="33" t="s">
        <v>1229</v>
      </c>
      <c r="N574" s="34" t="s">
        <v>1230</v>
      </c>
      <c r="O574" s="36">
        <v>4406</v>
      </c>
      <c r="P574" s="35">
        <v>1.3805781290298033E-3</v>
      </c>
      <c r="Q574" s="28" t="s">
        <v>100</v>
      </c>
      <c r="R574" s="5">
        <v>-0.2</v>
      </c>
    </row>
    <row r="575" spans="12:18" x14ac:dyDescent="0.25">
      <c r="L575" s="33">
        <v>571</v>
      </c>
      <c r="M575" s="33" t="s">
        <v>1231</v>
      </c>
      <c r="N575" s="34" t="s">
        <v>1232</v>
      </c>
      <c r="O575" s="36">
        <v>4391</v>
      </c>
      <c r="P575" s="35">
        <v>1.375878021917809E-3</v>
      </c>
      <c r="Q575" s="28" t="s">
        <v>100</v>
      </c>
      <c r="R575" s="5">
        <v>-0.2</v>
      </c>
    </row>
    <row r="576" spans="12:18" x14ac:dyDescent="0.25">
      <c r="L576" s="33">
        <v>572</v>
      </c>
      <c r="M576" s="33" t="s">
        <v>1233</v>
      </c>
      <c r="N576" s="34" t="s">
        <v>1234</v>
      </c>
      <c r="O576" s="36">
        <v>4334</v>
      </c>
      <c r="P576" s="35">
        <v>1.3580176148922304E-3</v>
      </c>
      <c r="Q576" s="28" t="s">
        <v>100</v>
      </c>
      <c r="R576" s="5">
        <v>-0.2</v>
      </c>
    </row>
    <row r="577" spans="12:18" x14ac:dyDescent="0.25">
      <c r="L577" s="33">
        <v>573</v>
      </c>
      <c r="M577" s="33" t="s">
        <v>1235</v>
      </c>
      <c r="N577" s="34" t="s">
        <v>1236</v>
      </c>
      <c r="O577" s="36">
        <v>4312</v>
      </c>
      <c r="P577" s="35">
        <v>1.3511241244613054E-3</v>
      </c>
      <c r="Q577" s="28" t="s">
        <v>100</v>
      </c>
      <c r="R577" s="5">
        <v>-0.2</v>
      </c>
    </row>
    <row r="578" spans="12:18" x14ac:dyDescent="0.25">
      <c r="L578" s="33">
        <v>574</v>
      </c>
      <c r="M578" s="33" t="s">
        <v>1237</v>
      </c>
      <c r="N578" s="34" t="s">
        <v>1238</v>
      </c>
      <c r="O578" s="36">
        <v>4307</v>
      </c>
      <c r="P578" s="35">
        <v>1.3495574220906406E-3</v>
      </c>
      <c r="Q578" s="28" t="s">
        <v>100</v>
      </c>
      <c r="R578" s="5">
        <v>-0.2</v>
      </c>
    </row>
    <row r="579" spans="12:18" x14ac:dyDescent="0.25">
      <c r="L579" s="33">
        <v>575</v>
      </c>
      <c r="M579" s="33" t="s">
        <v>1239</v>
      </c>
      <c r="N579" s="34" t="s">
        <v>1240</v>
      </c>
      <c r="O579" s="36">
        <v>4277</v>
      </c>
      <c r="P579" s="35">
        <v>1.3401572078666521E-3</v>
      </c>
      <c r="Q579" s="28" t="s">
        <v>100</v>
      </c>
      <c r="R579" s="5">
        <v>-0.2</v>
      </c>
    </row>
    <row r="580" spans="12:18" x14ac:dyDescent="0.25">
      <c r="L580" s="33">
        <v>576</v>
      </c>
      <c r="M580" s="33" t="s">
        <v>1241</v>
      </c>
      <c r="N580" s="34" t="s">
        <v>1242</v>
      </c>
      <c r="O580" s="36">
        <v>4260</v>
      </c>
      <c r="P580" s="35">
        <v>1.3348304198063916E-3</v>
      </c>
      <c r="Q580" s="28" t="s">
        <v>100</v>
      </c>
      <c r="R580" s="5">
        <v>-0.2</v>
      </c>
    </row>
    <row r="581" spans="12:18" x14ac:dyDescent="0.25">
      <c r="L581" s="33">
        <v>577</v>
      </c>
      <c r="M581" s="33" t="s">
        <v>1243</v>
      </c>
      <c r="N581" s="34" t="s">
        <v>1244</v>
      </c>
      <c r="O581" s="36">
        <v>4230</v>
      </c>
      <c r="P581" s="35">
        <v>1.3254302055824032E-3</v>
      </c>
      <c r="Q581" s="28" t="s">
        <v>100</v>
      </c>
      <c r="R581" s="5">
        <v>-0.2</v>
      </c>
    </row>
    <row r="582" spans="12:18" x14ac:dyDescent="0.25">
      <c r="L582" s="33">
        <v>578</v>
      </c>
      <c r="M582" s="33" t="s">
        <v>1245</v>
      </c>
      <c r="N582" s="34" t="s">
        <v>1246</v>
      </c>
      <c r="O582" s="36">
        <v>4155</v>
      </c>
      <c r="P582" s="35">
        <v>1.3019296700224315E-3</v>
      </c>
      <c r="Q582" s="28" t="s">
        <v>100</v>
      </c>
      <c r="R582" s="5">
        <v>-0.2</v>
      </c>
    </row>
    <row r="583" spans="12:18" x14ac:dyDescent="0.25">
      <c r="L583" s="33">
        <v>579</v>
      </c>
      <c r="M583" s="33" t="s">
        <v>1247</v>
      </c>
      <c r="N583" s="34" t="s">
        <v>1248</v>
      </c>
      <c r="O583" s="36">
        <v>4122</v>
      </c>
      <c r="P583" s="35">
        <v>1.2915894343760439E-3</v>
      </c>
      <c r="Q583" s="28" t="s">
        <v>100</v>
      </c>
      <c r="R583" s="5">
        <v>-0.2</v>
      </c>
    </row>
    <row r="584" spans="12:18" x14ac:dyDescent="0.25">
      <c r="L584" s="33">
        <v>580</v>
      </c>
      <c r="M584" s="33" t="s">
        <v>1249</v>
      </c>
      <c r="N584" s="34" t="s">
        <v>1250</v>
      </c>
      <c r="O584" s="36">
        <v>4075</v>
      </c>
      <c r="P584" s="35">
        <v>1.276862432091795E-3</v>
      </c>
      <c r="Q584" s="28" t="s">
        <v>100</v>
      </c>
      <c r="R584" s="5">
        <v>-0.2</v>
      </c>
    </row>
    <row r="585" spans="12:18" x14ac:dyDescent="0.25">
      <c r="L585" s="33">
        <v>581</v>
      </c>
      <c r="M585" s="33" t="s">
        <v>1251</v>
      </c>
      <c r="N585" s="34" t="s">
        <v>1252</v>
      </c>
      <c r="O585" s="36">
        <v>3990</v>
      </c>
      <c r="P585" s="35">
        <v>1.2502284917904937E-3</v>
      </c>
      <c r="Q585" s="28" t="s">
        <v>100</v>
      </c>
      <c r="R585" s="5">
        <v>-0.2</v>
      </c>
    </row>
    <row r="586" spans="12:18" x14ac:dyDescent="0.25">
      <c r="L586" s="33">
        <v>582</v>
      </c>
      <c r="M586" s="33" t="s">
        <v>1253</v>
      </c>
      <c r="N586" s="34" t="s">
        <v>1254</v>
      </c>
      <c r="O586" s="36">
        <v>3835</v>
      </c>
      <c r="P586" s="35">
        <v>1.2016607182998855E-3</v>
      </c>
      <c r="Q586" s="28" t="s">
        <v>100</v>
      </c>
      <c r="R586" s="5">
        <v>-0.2</v>
      </c>
    </row>
    <row r="587" spans="12:18" x14ac:dyDescent="0.25">
      <c r="L587" s="33">
        <v>583</v>
      </c>
      <c r="M587" s="33" t="s">
        <v>1255</v>
      </c>
      <c r="N587" s="34" t="s">
        <v>1256</v>
      </c>
      <c r="O587" s="36">
        <v>3803</v>
      </c>
      <c r="P587" s="35">
        <v>1.191633823127631E-3</v>
      </c>
      <c r="Q587" s="28" t="s">
        <v>100</v>
      </c>
      <c r="R587" s="5">
        <v>-0.2</v>
      </c>
    </row>
    <row r="588" spans="12:18" x14ac:dyDescent="0.25">
      <c r="L588" s="33">
        <v>584</v>
      </c>
      <c r="M588" s="33" t="s">
        <v>1257</v>
      </c>
      <c r="N588" s="34" t="s">
        <v>1258</v>
      </c>
      <c r="O588" s="36">
        <v>3774</v>
      </c>
      <c r="P588" s="35">
        <v>1.1825469493777752E-3</v>
      </c>
      <c r="Q588" s="28" t="s">
        <v>100</v>
      </c>
      <c r="R588" s="5">
        <v>-0.2</v>
      </c>
    </row>
    <row r="589" spans="12:18" x14ac:dyDescent="0.25">
      <c r="L589" s="33">
        <v>585</v>
      </c>
      <c r="M589" s="33" t="s">
        <v>1259</v>
      </c>
      <c r="N589" s="34" t="s">
        <v>1260</v>
      </c>
      <c r="O589" s="36">
        <v>3686</v>
      </c>
      <c r="P589" s="35">
        <v>1.154972987654075E-3</v>
      </c>
      <c r="Q589" s="28" t="s">
        <v>100</v>
      </c>
      <c r="R589" s="5">
        <v>-0.2</v>
      </c>
    </row>
    <row r="590" spans="12:18" x14ac:dyDescent="0.25">
      <c r="L590" s="33">
        <v>586</v>
      </c>
      <c r="M590" s="33" t="s">
        <v>1261</v>
      </c>
      <c r="N590" s="34" t="s">
        <v>1262</v>
      </c>
      <c r="O590" s="36">
        <v>3682</v>
      </c>
      <c r="P590" s="35">
        <v>1.1537196257575433E-3</v>
      </c>
      <c r="Q590" s="28" t="s">
        <v>100</v>
      </c>
      <c r="R590" s="5">
        <v>-0.2</v>
      </c>
    </row>
    <row r="591" spans="12:18" x14ac:dyDescent="0.25">
      <c r="L591" s="33">
        <v>587</v>
      </c>
      <c r="M591" s="33" t="s">
        <v>1263</v>
      </c>
      <c r="N591" s="34" t="s">
        <v>1264</v>
      </c>
      <c r="O591" s="36">
        <v>3676</v>
      </c>
      <c r="P591" s="35">
        <v>1.1518395829127456E-3</v>
      </c>
      <c r="Q591" s="28" t="s">
        <v>100</v>
      </c>
      <c r="R591" s="5">
        <v>-0.2</v>
      </c>
    </row>
    <row r="592" spans="12:18" x14ac:dyDescent="0.25">
      <c r="L592" s="33">
        <v>588</v>
      </c>
      <c r="M592" s="33" t="s">
        <v>1265</v>
      </c>
      <c r="N592" s="34" t="s">
        <v>1266</v>
      </c>
      <c r="O592" s="36">
        <v>3624</v>
      </c>
      <c r="P592" s="35">
        <v>1.1355458782578319E-3</v>
      </c>
      <c r="Q592" s="28" t="s">
        <v>100</v>
      </c>
      <c r="R592" s="5">
        <v>-0.2</v>
      </c>
    </row>
    <row r="593" spans="12:18" x14ac:dyDescent="0.25">
      <c r="L593" s="33">
        <v>589</v>
      </c>
      <c r="M593" s="33" t="s">
        <v>1267</v>
      </c>
      <c r="N593" s="34" t="s">
        <v>1268</v>
      </c>
      <c r="O593" s="36">
        <v>3619</v>
      </c>
      <c r="P593" s="35">
        <v>1.133979175887167E-3</v>
      </c>
      <c r="Q593" s="28" t="s">
        <v>100</v>
      </c>
      <c r="R593" s="5">
        <v>-0.2</v>
      </c>
    </row>
    <row r="594" spans="12:18" x14ac:dyDescent="0.25">
      <c r="L594" s="33">
        <v>590</v>
      </c>
      <c r="M594" s="33" t="s">
        <v>1269</v>
      </c>
      <c r="N594" s="34" t="s">
        <v>1270</v>
      </c>
      <c r="O594" s="36">
        <v>3526</v>
      </c>
      <c r="P594" s="35">
        <v>1.1048385117928023E-3</v>
      </c>
      <c r="Q594" s="28" t="s">
        <v>100</v>
      </c>
      <c r="R594" s="5">
        <v>-0.2</v>
      </c>
    </row>
    <row r="595" spans="12:18" x14ac:dyDescent="0.25">
      <c r="L595" s="33">
        <v>591</v>
      </c>
      <c r="M595" s="33" t="s">
        <v>1271</v>
      </c>
      <c r="N595" s="34" t="s">
        <v>39</v>
      </c>
      <c r="O595" s="36">
        <v>3525</v>
      </c>
      <c r="P595" s="35">
        <v>1.1045251713186692E-3</v>
      </c>
      <c r="Q595" s="28" t="s">
        <v>100</v>
      </c>
      <c r="R595" s="5">
        <v>-0.2</v>
      </c>
    </row>
    <row r="596" spans="12:18" x14ac:dyDescent="0.25">
      <c r="L596" s="33">
        <v>592</v>
      </c>
      <c r="M596" s="33" t="s">
        <v>1272</v>
      </c>
      <c r="N596" s="34" t="s">
        <v>1273</v>
      </c>
      <c r="O596" s="36">
        <v>3460</v>
      </c>
      <c r="P596" s="35">
        <v>1.0841580405000272E-3</v>
      </c>
      <c r="Q596" s="28" t="s">
        <v>100</v>
      </c>
      <c r="R596" s="5">
        <v>-0.2</v>
      </c>
    </row>
    <row r="597" spans="12:18" x14ac:dyDescent="0.25">
      <c r="L597" s="33">
        <v>593</v>
      </c>
      <c r="M597" s="33" t="s">
        <v>1274</v>
      </c>
      <c r="N597" s="34" t="s">
        <v>1275</v>
      </c>
      <c r="O597" s="36">
        <v>3336</v>
      </c>
      <c r="P597" s="35">
        <v>1.0453038217075406E-3</v>
      </c>
      <c r="Q597" s="28" t="s">
        <v>100</v>
      </c>
      <c r="R597" s="5">
        <v>-0.2</v>
      </c>
    </row>
    <row r="598" spans="12:18" x14ac:dyDescent="0.25">
      <c r="L598" s="33">
        <v>594</v>
      </c>
      <c r="M598" s="33" t="s">
        <v>1276</v>
      </c>
      <c r="N598" s="34" t="s">
        <v>1277</v>
      </c>
      <c r="O598" s="36">
        <v>3315</v>
      </c>
      <c r="P598" s="35">
        <v>1.0387236717507484E-3</v>
      </c>
      <c r="Q598" s="28" t="s">
        <v>100</v>
      </c>
      <c r="R598" s="5">
        <v>-0.2</v>
      </c>
    </row>
    <row r="599" spans="12:18" x14ac:dyDescent="0.25">
      <c r="L599" s="33">
        <v>595</v>
      </c>
      <c r="M599" s="33" t="s">
        <v>1278</v>
      </c>
      <c r="N599" s="34" t="s">
        <v>1279</v>
      </c>
      <c r="O599" s="36">
        <v>3315</v>
      </c>
      <c r="P599" s="35">
        <v>1.0387236717507484E-3</v>
      </c>
      <c r="Q599" s="28" t="s">
        <v>100</v>
      </c>
      <c r="R599" s="5">
        <v>-0.2</v>
      </c>
    </row>
    <row r="600" spans="12:18" x14ac:dyDescent="0.25">
      <c r="L600" s="33">
        <v>596</v>
      </c>
      <c r="M600" s="33" t="s">
        <v>1280</v>
      </c>
      <c r="N600" s="34" t="s">
        <v>1281</v>
      </c>
      <c r="O600" s="36">
        <v>3306</v>
      </c>
      <c r="P600" s="35">
        <v>1.0359036074835519E-3</v>
      </c>
      <c r="Q600" s="28" t="s">
        <v>100</v>
      </c>
      <c r="R600" s="5">
        <v>-0.2</v>
      </c>
    </row>
    <row r="601" spans="12:18" x14ac:dyDescent="0.25">
      <c r="L601" s="33">
        <v>597</v>
      </c>
      <c r="M601" s="33" t="s">
        <v>1282</v>
      </c>
      <c r="N601" s="34" t="s">
        <v>1283</v>
      </c>
      <c r="O601" s="36">
        <v>3276</v>
      </c>
      <c r="P601" s="35">
        <v>1.0265033932595632E-3</v>
      </c>
      <c r="Q601" s="28" t="s">
        <v>100</v>
      </c>
      <c r="R601" s="5">
        <v>-0.2</v>
      </c>
    </row>
    <row r="602" spans="12:18" x14ac:dyDescent="0.25">
      <c r="L602" s="33">
        <v>598</v>
      </c>
      <c r="M602" s="33" t="s">
        <v>1284</v>
      </c>
      <c r="N602" s="34" t="s">
        <v>1285</v>
      </c>
      <c r="O602" s="36">
        <v>3269</v>
      </c>
      <c r="P602" s="35">
        <v>1.0243100099406326E-3</v>
      </c>
      <c r="Q602" s="28" t="s">
        <v>100</v>
      </c>
      <c r="R602" s="5">
        <v>-0.2</v>
      </c>
    </row>
    <row r="603" spans="12:18" x14ac:dyDescent="0.25">
      <c r="L603" s="33">
        <v>599</v>
      </c>
      <c r="M603" s="33" t="s">
        <v>1286</v>
      </c>
      <c r="N603" s="34" t="s">
        <v>1287</v>
      </c>
      <c r="O603" s="36">
        <v>3235</v>
      </c>
      <c r="P603" s="35">
        <v>1.0136564338201121E-3</v>
      </c>
      <c r="Q603" s="28" t="s">
        <v>100</v>
      </c>
      <c r="R603" s="5">
        <v>-0.2</v>
      </c>
    </row>
    <row r="604" spans="12:18" x14ac:dyDescent="0.25">
      <c r="L604" s="33">
        <v>600</v>
      </c>
      <c r="M604" s="33" t="s">
        <v>1288</v>
      </c>
      <c r="N604" s="34" t="s">
        <v>1289</v>
      </c>
      <c r="O604" s="36">
        <v>3122</v>
      </c>
      <c r="P604" s="35">
        <v>9.7824896024308809E-4</v>
      </c>
      <c r="Q604" s="28" t="s">
        <v>100</v>
      </c>
      <c r="R604" s="5">
        <v>-0.2</v>
      </c>
    </row>
    <row r="605" spans="12:18" x14ac:dyDescent="0.25">
      <c r="L605" s="33">
        <v>601</v>
      </c>
      <c r="M605" s="33" t="s">
        <v>1290</v>
      </c>
      <c r="N605" s="34" t="s">
        <v>1291</v>
      </c>
      <c r="O605" s="36">
        <v>3118</v>
      </c>
      <c r="P605" s="35">
        <v>9.7699559834655615E-4</v>
      </c>
      <c r="Q605" s="28" t="s">
        <v>100</v>
      </c>
      <c r="R605" s="5">
        <v>-0.2</v>
      </c>
    </row>
    <row r="606" spans="12:18" x14ac:dyDescent="0.25">
      <c r="L606" s="33">
        <v>602</v>
      </c>
      <c r="M606" s="33" t="s">
        <v>1292</v>
      </c>
      <c r="N606" s="34" t="s">
        <v>1293</v>
      </c>
      <c r="O606" s="36">
        <v>3068</v>
      </c>
      <c r="P606" s="35">
        <v>9.6132857463990847E-4</v>
      </c>
      <c r="Q606" s="28" t="s">
        <v>100</v>
      </c>
      <c r="R606" s="5">
        <v>-0.2</v>
      </c>
    </row>
    <row r="607" spans="12:18" x14ac:dyDescent="0.25">
      <c r="L607" s="33">
        <v>603</v>
      </c>
      <c r="M607" s="33" t="s">
        <v>1294</v>
      </c>
      <c r="N607" s="34" t="s">
        <v>1295</v>
      </c>
      <c r="O607" s="36">
        <v>3053</v>
      </c>
      <c r="P607" s="35">
        <v>9.5662846752791412E-4</v>
      </c>
      <c r="Q607" s="28" t="s">
        <v>100</v>
      </c>
      <c r="R607" s="5">
        <v>-0.2</v>
      </c>
    </row>
    <row r="608" spans="12:18" x14ac:dyDescent="0.25">
      <c r="L608" s="33">
        <v>604</v>
      </c>
      <c r="M608" s="33" t="s">
        <v>1296</v>
      </c>
      <c r="N608" s="34" t="s">
        <v>1297</v>
      </c>
      <c r="O608" s="36">
        <v>3044</v>
      </c>
      <c r="P608" s="35">
        <v>9.5380840326071746E-4</v>
      </c>
      <c r="Q608" s="28" t="s">
        <v>100</v>
      </c>
      <c r="R608" s="5">
        <v>-0.2</v>
      </c>
    </row>
    <row r="609" spans="12:18" x14ac:dyDescent="0.25">
      <c r="L609" s="33">
        <v>605</v>
      </c>
      <c r="M609" s="33" t="s">
        <v>1298</v>
      </c>
      <c r="N609" s="34" t="s">
        <v>1299</v>
      </c>
      <c r="O609" s="36">
        <v>2989</v>
      </c>
      <c r="P609" s="35">
        <v>9.3657467718340486E-4</v>
      </c>
      <c r="Q609" s="28" t="s">
        <v>100</v>
      </c>
      <c r="R609" s="5">
        <v>-0.2</v>
      </c>
    </row>
    <row r="610" spans="12:18" x14ac:dyDescent="0.25">
      <c r="L610" s="33">
        <v>606</v>
      </c>
      <c r="M610" s="33" t="s">
        <v>1300</v>
      </c>
      <c r="N610" s="34" t="s">
        <v>1301</v>
      </c>
      <c r="O610" s="36">
        <v>2982</v>
      </c>
      <c r="P610" s="35">
        <v>9.3438129386447417E-4</v>
      </c>
      <c r="Q610" s="28" t="s">
        <v>100</v>
      </c>
      <c r="R610" s="5">
        <v>-0.2</v>
      </c>
    </row>
    <row r="611" spans="12:18" x14ac:dyDescent="0.25">
      <c r="L611" s="33">
        <v>607</v>
      </c>
      <c r="M611" s="33" t="s">
        <v>1302</v>
      </c>
      <c r="N611" s="34" t="s">
        <v>1303</v>
      </c>
      <c r="O611" s="36">
        <v>2970</v>
      </c>
      <c r="P611" s="35">
        <v>9.3062120817487878E-4</v>
      </c>
      <c r="Q611" s="28" t="s">
        <v>100</v>
      </c>
      <c r="R611" s="5">
        <v>-0.2</v>
      </c>
    </row>
    <row r="612" spans="12:18" x14ac:dyDescent="0.25">
      <c r="L612" s="33">
        <v>608</v>
      </c>
      <c r="M612" s="33" t="s">
        <v>1304</v>
      </c>
      <c r="N612" s="34" t="s">
        <v>1305</v>
      </c>
      <c r="O612" s="36">
        <v>2945</v>
      </c>
      <c r="P612" s="35">
        <v>9.2278769632155489E-4</v>
      </c>
      <c r="Q612" s="28" t="s">
        <v>100</v>
      </c>
      <c r="R612" s="5">
        <v>-0.2</v>
      </c>
    </row>
    <row r="613" spans="12:18" x14ac:dyDescent="0.25">
      <c r="L613" s="33">
        <v>609</v>
      </c>
      <c r="M613" s="33" t="s">
        <v>1306</v>
      </c>
      <c r="N613" s="34" t="s">
        <v>1307</v>
      </c>
      <c r="O613" s="36">
        <v>2931</v>
      </c>
      <c r="P613" s="35">
        <v>9.1840092968369352E-4</v>
      </c>
      <c r="Q613" s="28" t="s">
        <v>100</v>
      </c>
      <c r="R613" s="5">
        <v>-0.2</v>
      </c>
    </row>
    <row r="614" spans="12:18" x14ac:dyDescent="0.25">
      <c r="L614" s="33">
        <v>610</v>
      </c>
      <c r="M614" s="33" t="s">
        <v>1308</v>
      </c>
      <c r="N614" s="34" t="s">
        <v>1309</v>
      </c>
      <c r="O614" s="36">
        <v>2911</v>
      </c>
      <c r="P614" s="35">
        <v>9.1213412020103434E-4</v>
      </c>
      <c r="Q614" s="28" t="s">
        <v>100</v>
      </c>
      <c r="R614" s="5">
        <v>-0.2</v>
      </c>
    </row>
    <row r="615" spans="12:18" x14ac:dyDescent="0.25">
      <c r="L615" s="33">
        <v>611</v>
      </c>
      <c r="M615" s="33" t="s">
        <v>1310</v>
      </c>
      <c r="N615" s="34" t="s">
        <v>1311</v>
      </c>
      <c r="O615" s="36">
        <v>2906</v>
      </c>
      <c r="P615" s="35">
        <v>9.1056741783036963E-4</v>
      </c>
      <c r="Q615" s="28" t="s">
        <v>100</v>
      </c>
      <c r="R615" s="5">
        <v>-0.2</v>
      </c>
    </row>
    <row r="616" spans="12:18" x14ac:dyDescent="0.25">
      <c r="L616" s="33">
        <v>612</v>
      </c>
      <c r="M616" s="33" t="s">
        <v>1312</v>
      </c>
      <c r="N616" s="34" t="s">
        <v>1313</v>
      </c>
      <c r="O616" s="36">
        <v>2792</v>
      </c>
      <c r="P616" s="35">
        <v>8.7484660377921259E-4</v>
      </c>
      <c r="Q616" s="28" t="s">
        <v>100</v>
      </c>
      <c r="R616" s="5">
        <v>-0.2</v>
      </c>
    </row>
    <row r="617" spans="12:18" x14ac:dyDescent="0.25">
      <c r="L617" s="33">
        <v>613</v>
      </c>
      <c r="M617" s="33" t="s">
        <v>1314</v>
      </c>
      <c r="N617" s="34" t="s">
        <v>1315</v>
      </c>
      <c r="O617" s="36">
        <v>2749</v>
      </c>
      <c r="P617" s="35">
        <v>8.6137296339149549E-4</v>
      </c>
      <c r="Q617" s="28" t="s">
        <v>100</v>
      </c>
      <c r="R617" s="5">
        <v>-0.2</v>
      </c>
    </row>
    <row r="618" spans="12:18" x14ac:dyDescent="0.25">
      <c r="L618" s="33">
        <v>614</v>
      </c>
      <c r="M618" s="33" t="s">
        <v>1316</v>
      </c>
      <c r="N618" s="34" t="s">
        <v>1317</v>
      </c>
      <c r="O618" s="36">
        <v>2682</v>
      </c>
      <c r="P618" s="35">
        <v>8.4037915162458749E-4</v>
      </c>
      <c r="Q618" s="28" t="s">
        <v>100</v>
      </c>
      <c r="R618" s="5">
        <v>-0.2</v>
      </c>
    </row>
    <row r="619" spans="12:18" x14ac:dyDescent="0.25">
      <c r="L619" s="33">
        <v>615</v>
      </c>
      <c r="M619" s="33" t="s">
        <v>1318</v>
      </c>
      <c r="N619" s="34" t="s">
        <v>1319</v>
      </c>
      <c r="O619" s="36">
        <v>2679</v>
      </c>
      <c r="P619" s="35">
        <v>8.3943913020218864E-4</v>
      </c>
      <c r="Q619" s="28" t="s">
        <v>100</v>
      </c>
      <c r="R619" s="5">
        <v>-0.2</v>
      </c>
    </row>
    <row r="620" spans="12:18" x14ac:dyDescent="0.25">
      <c r="L620" s="33">
        <v>616</v>
      </c>
      <c r="M620" s="33" t="s">
        <v>1320</v>
      </c>
      <c r="N620" s="34" t="s">
        <v>1321</v>
      </c>
      <c r="O620" s="36">
        <v>2668</v>
      </c>
      <c r="P620" s="35">
        <v>8.3599238498672612E-4</v>
      </c>
      <c r="Q620" s="28" t="s">
        <v>100</v>
      </c>
      <c r="R620" s="5">
        <v>-0.2</v>
      </c>
    </row>
    <row r="621" spans="12:18" x14ac:dyDescent="0.25">
      <c r="L621" s="33">
        <v>617</v>
      </c>
      <c r="M621" s="33" t="s">
        <v>1322</v>
      </c>
      <c r="N621" s="34" t="s">
        <v>1323</v>
      </c>
      <c r="O621" s="36">
        <v>2652</v>
      </c>
      <c r="P621" s="35">
        <v>8.3097893740059878E-4</v>
      </c>
      <c r="Q621" s="28" t="s">
        <v>100</v>
      </c>
      <c r="R621" s="5">
        <v>-0.2</v>
      </c>
    </row>
    <row r="622" spans="12:18" x14ac:dyDescent="0.25">
      <c r="L622" s="33">
        <v>618</v>
      </c>
      <c r="M622" s="33" t="s">
        <v>1324</v>
      </c>
      <c r="N622" s="34" t="s">
        <v>1325</v>
      </c>
      <c r="O622" s="36">
        <v>2640</v>
      </c>
      <c r="P622" s="35">
        <v>8.2721885171100338E-4</v>
      </c>
      <c r="Q622" s="28" t="s">
        <v>100</v>
      </c>
      <c r="R622" s="5">
        <v>-0.2</v>
      </c>
    </row>
    <row r="623" spans="12:18" x14ac:dyDescent="0.25">
      <c r="L623" s="33">
        <v>619</v>
      </c>
      <c r="M623" s="33" t="s">
        <v>1326</v>
      </c>
      <c r="N623" s="34" t="s">
        <v>1327</v>
      </c>
      <c r="O623" s="36">
        <v>2636</v>
      </c>
      <c r="P623" s="35">
        <v>8.2596548981447155E-4</v>
      </c>
      <c r="Q623" s="28" t="s">
        <v>100</v>
      </c>
      <c r="R623" s="5">
        <v>-0.2</v>
      </c>
    </row>
    <row r="624" spans="12:18" x14ac:dyDescent="0.25">
      <c r="L624" s="33">
        <v>620</v>
      </c>
      <c r="M624" s="33" t="s">
        <v>1328</v>
      </c>
      <c r="N624" s="34" t="s">
        <v>1329</v>
      </c>
      <c r="O624" s="36">
        <v>2635</v>
      </c>
      <c r="P624" s="35">
        <v>8.2565214934033856E-4</v>
      </c>
      <c r="Q624" s="28" t="s">
        <v>100</v>
      </c>
      <c r="R624" s="5">
        <v>-0.2</v>
      </c>
    </row>
    <row r="625" spans="12:18" x14ac:dyDescent="0.25">
      <c r="L625" s="33">
        <v>621</v>
      </c>
      <c r="M625" s="33" t="s">
        <v>1330</v>
      </c>
      <c r="N625" s="34" t="s">
        <v>1331</v>
      </c>
      <c r="O625" s="36">
        <v>2616</v>
      </c>
      <c r="P625" s="35">
        <v>8.1969868033181237E-4</v>
      </c>
      <c r="Q625" s="28" t="s">
        <v>100</v>
      </c>
      <c r="R625" s="5">
        <v>-0.2</v>
      </c>
    </row>
    <row r="626" spans="12:18" x14ac:dyDescent="0.25">
      <c r="L626" s="33">
        <v>622</v>
      </c>
      <c r="M626" s="33" t="s">
        <v>1332</v>
      </c>
      <c r="N626" s="34" t="s">
        <v>1333</v>
      </c>
      <c r="O626" s="36">
        <v>2598</v>
      </c>
      <c r="P626" s="35">
        <v>8.1405855179741916E-4</v>
      </c>
      <c r="Q626" s="28" t="s">
        <v>100</v>
      </c>
      <c r="R626" s="5">
        <v>-0.2</v>
      </c>
    </row>
    <row r="627" spans="12:18" x14ac:dyDescent="0.25">
      <c r="L627" s="33">
        <v>623</v>
      </c>
      <c r="M627" s="33" t="s">
        <v>1334</v>
      </c>
      <c r="N627" s="34" t="s">
        <v>1335</v>
      </c>
      <c r="O627" s="36">
        <v>2595</v>
      </c>
      <c r="P627" s="35">
        <v>8.1311853037502031E-4</v>
      </c>
      <c r="Q627" s="28" t="s">
        <v>100</v>
      </c>
      <c r="R627" s="5">
        <v>-0.2</v>
      </c>
    </row>
    <row r="628" spans="12:18" x14ac:dyDescent="0.25">
      <c r="L628" s="33">
        <v>624</v>
      </c>
      <c r="M628" s="33" t="s">
        <v>1336</v>
      </c>
      <c r="N628" s="34" t="s">
        <v>1337</v>
      </c>
      <c r="O628" s="36">
        <v>2566</v>
      </c>
      <c r="P628" s="35">
        <v>8.0403165662516459E-4</v>
      </c>
      <c r="Q628" s="28" t="s">
        <v>100</v>
      </c>
      <c r="R628" s="5">
        <v>-0.2</v>
      </c>
    </row>
    <row r="629" spans="12:18" x14ac:dyDescent="0.25">
      <c r="L629" s="33">
        <v>625</v>
      </c>
      <c r="M629" s="33" t="s">
        <v>1338</v>
      </c>
      <c r="N629" s="34" t="s">
        <v>1339</v>
      </c>
      <c r="O629" s="36">
        <v>2524</v>
      </c>
      <c r="P629" s="35">
        <v>7.9087135671158048E-4</v>
      </c>
      <c r="Q629" s="28" t="s">
        <v>100</v>
      </c>
      <c r="R629" s="5">
        <v>-0.2</v>
      </c>
    </row>
    <row r="630" spans="12:18" x14ac:dyDescent="0.25">
      <c r="L630" s="33">
        <v>626</v>
      </c>
      <c r="M630" s="33" t="s">
        <v>1340</v>
      </c>
      <c r="N630" s="34" t="s">
        <v>1341</v>
      </c>
      <c r="O630" s="36">
        <v>2502</v>
      </c>
      <c r="P630" s="35">
        <v>7.8397786628065544E-4</v>
      </c>
      <c r="Q630" s="28" t="s">
        <v>100</v>
      </c>
      <c r="R630" s="5">
        <v>-0.2</v>
      </c>
    </row>
    <row r="631" spans="12:18" x14ac:dyDescent="0.25">
      <c r="L631" s="33">
        <v>627</v>
      </c>
      <c r="M631" s="33" t="s">
        <v>1342</v>
      </c>
      <c r="N631" s="34" t="s">
        <v>1343</v>
      </c>
      <c r="O631" s="36">
        <v>2439</v>
      </c>
      <c r="P631" s="35">
        <v>7.6423741641027916E-4</v>
      </c>
      <c r="Q631" s="28" t="s">
        <v>100</v>
      </c>
      <c r="R631" s="5">
        <v>-0.2</v>
      </c>
    </row>
    <row r="632" spans="12:18" x14ac:dyDescent="0.25">
      <c r="L632" s="33">
        <v>628</v>
      </c>
      <c r="M632" s="33" t="s">
        <v>1344</v>
      </c>
      <c r="N632" s="34" t="s">
        <v>1345</v>
      </c>
      <c r="O632" s="36">
        <v>2392</v>
      </c>
      <c r="P632" s="35">
        <v>7.4951041412603034E-4</v>
      </c>
      <c r="Q632" s="28" t="s">
        <v>100</v>
      </c>
      <c r="R632" s="5">
        <v>-0.2</v>
      </c>
    </row>
    <row r="633" spans="12:18" x14ac:dyDescent="0.25">
      <c r="L633" s="33">
        <v>629</v>
      </c>
      <c r="M633" s="33" t="s">
        <v>1346</v>
      </c>
      <c r="N633" s="34" t="s">
        <v>1347</v>
      </c>
      <c r="O633" s="36">
        <v>2387</v>
      </c>
      <c r="P633" s="35">
        <v>7.4794371175536552E-4</v>
      </c>
      <c r="Q633" s="28" t="s">
        <v>100</v>
      </c>
      <c r="R633" s="5">
        <v>-0.2</v>
      </c>
    </row>
    <row r="634" spans="12:18" x14ac:dyDescent="0.25">
      <c r="L634" s="33">
        <v>630</v>
      </c>
      <c r="M634" s="33" t="s">
        <v>1348</v>
      </c>
      <c r="N634" s="34" t="s">
        <v>1349</v>
      </c>
      <c r="O634" s="36">
        <v>2371</v>
      </c>
      <c r="P634" s="35">
        <v>7.4293026416923818E-4</v>
      </c>
      <c r="Q634" s="28" t="s">
        <v>100</v>
      </c>
      <c r="R634" s="5">
        <v>-0.2</v>
      </c>
    </row>
    <row r="635" spans="12:18" x14ac:dyDescent="0.25">
      <c r="L635" s="33">
        <v>631</v>
      </c>
      <c r="M635" s="33" t="s">
        <v>1350</v>
      </c>
      <c r="N635" s="34" t="s">
        <v>1351</v>
      </c>
      <c r="O635" s="36">
        <v>2368</v>
      </c>
      <c r="P635" s="35">
        <v>7.4199024274683933E-4</v>
      </c>
      <c r="Q635" s="28" t="s">
        <v>100</v>
      </c>
      <c r="R635" s="5">
        <v>-0.2</v>
      </c>
    </row>
    <row r="636" spans="12:18" x14ac:dyDescent="0.25">
      <c r="L636" s="33">
        <v>632</v>
      </c>
      <c r="M636" s="33" t="s">
        <v>1352</v>
      </c>
      <c r="N636" s="34" t="s">
        <v>1353</v>
      </c>
      <c r="O636" s="36">
        <v>2365</v>
      </c>
      <c r="P636" s="35">
        <v>7.4105022132444048E-4</v>
      </c>
      <c r="Q636" s="28" t="s">
        <v>100</v>
      </c>
      <c r="R636" s="5">
        <v>-0.2</v>
      </c>
    </row>
    <row r="637" spans="12:18" x14ac:dyDescent="0.25">
      <c r="L637" s="33">
        <v>633</v>
      </c>
      <c r="M637" s="33" t="s">
        <v>1354</v>
      </c>
      <c r="N637" s="34" t="s">
        <v>1355</v>
      </c>
      <c r="O637" s="36">
        <v>2341</v>
      </c>
      <c r="P637" s="35">
        <v>7.3353004994524957E-4</v>
      </c>
      <c r="Q637" s="28" t="s">
        <v>100</v>
      </c>
      <c r="R637" s="5">
        <v>-0.2</v>
      </c>
    </row>
    <row r="638" spans="12:18" x14ac:dyDescent="0.25">
      <c r="L638" s="33">
        <v>634</v>
      </c>
      <c r="M638" s="33" t="s">
        <v>1356</v>
      </c>
      <c r="N638" s="34" t="s">
        <v>1357</v>
      </c>
      <c r="O638" s="36">
        <v>2319</v>
      </c>
      <c r="P638" s="35">
        <v>7.2663655951432453E-4</v>
      </c>
      <c r="Q638" s="28" t="s">
        <v>100</v>
      </c>
      <c r="R638" s="5">
        <v>-0.2</v>
      </c>
    </row>
    <row r="639" spans="12:18" x14ac:dyDescent="0.25">
      <c r="L639" s="33">
        <v>635</v>
      </c>
      <c r="M639" s="33" t="s">
        <v>1358</v>
      </c>
      <c r="N639" s="34" t="s">
        <v>1359</v>
      </c>
      <c r="O639" s="36">
        <v>2314</v>
      </c>
      <c r="P639" s="35">
        <v>7.2506985714365971E-4</v>
      </c>
      <c r="Q639" s="28" t="s">
        <v>100</v>
      </c>
      <c r="R639" s="5">
        <v>-0.2</v>
      </c>
    </row>
    <row r="640" spans="12:18" x14ac:dyDescent="0.25">
      <c r="L640" s="33">
        <v>636</v>
      </c>
      <c r="M640" s="33" t="s">
        <v>1360</v>
      </c>
      <c r="N640" s="34" t="s">
        <v>1361</v>
      </c>
      <c r="O640" s="36">
        <v>2311</v>
      </c>
      <c r="P640" s="35">
        <v>7.2412983572126086E-4</v>
      </c>
      <c r="Q640" s="28" t="s">
        <v>100</v>
      </c>
      <c r="R640" s="5">
        <v>-0.2</v>
      </c>
    </row>
    <row r="641" spans="12:18" x14ac:dyDescent="0.25">
      <c r="L641" s="33">
        <v>637</v>
      </c>
      <c r="M641" s="33" t="s">
        <v>1362</v>
      </c>
      <c r="N641" s="34" t="s">
        <v>1363</v>
      </c>
      <c r="O641" s="36">
        <v>2297</v>
      </c>
      <c r="P641" s="35">
        <v>7.1974306908339949E-4</v>
      </c>
      <c r="Q641" s="28" t="s">
        <v>100</v>
      </c>
      <c r="R641" s="5">
        <v>-0.2</v>
      </c>
    </row>
    <row r="642" spans="12:18" x14ac:dyDescent="0.25">
      <c r="L642" s="33">
        <v>638</v>
      </c>
      <c r="M642" s="33" t="s">
        <v>1364</v>
      </c>
      <c r="N642" s="34" t="s">
        <v>1365</v>
      </c>
      <c r="O642" s="36">
        <v>2244</v>
      </c>
      <c r="P642" s="35">
        <v>7.0313602395435286E-4</v>
      </c>
      <c r="Q642" s="28" t="s">
        <v>100</v>
      </c>
      <c r="R642" s="5">
        <v>-0.2</v>
      </c>
    </row>
    <row r="643" spans="12:18" x14ac:dyDescent="0.25">
      <c r="L643" s="33">
        <v>639</v>
      </c>
      <c r="M643" s="33" t="s">
        <v>1366</v>
      </c>
      <c r="N643" s="34" t="s">
        <v>1367</v>
      </c>
      <c r="O643" s="36">
        <v>2229</v>
      </c>
      <c r="P643" s="35">
        <v>6.9843591684235851E-4</v>
      </c>
      <c r="Q643" s="28" t="s">
        <v>100</v>
      </c>
      <c r="R643" s="5">
        <v>-0.2</v>
      </c>
    </row>
    <row r="644" spans="12:18" x14ac:dyDescent="0.25">
      <c r="L644" s="33">
        <v>640</v>
      </c>
      <c r="M644" s="33" t="s">
        <v>1368</v>
      </c>
      <c r="N644" s="34" t="s">
        <v>1369</v>
      </c>
      <c r="O644" s="36">
        <v>2224</v>
      </c>
      <c r="P644" s="35">
        <v>6.9686921447169369E-4</v>
      </c>
      <c r="Q644" s="28" t="s">
        <v>100</v>
      </c>
      <c r="R644" s="5">
        <v>-0.2</v>
      </c>
    </row>
    <row r="645" spans="12:18" x14ac:dyDescent="0.25">
      <c r="L645" s="33">
        <v>641</v>
      </c>
      <c r="M645" s="33" t="s">
        <v>1370</v>
      </c>
      <c r="N645" s="34" t="s">
        <v>1371</v>
      </c>
      <c r="O645" s="36">
        <v>2205</v>
      </c>
      <c r="P645" s="35">
        <v>6.909157454631676E-4</v>
      </c>
      <c r="Q645" s="28" t="s">
        <v>100</v>
      </c>
      <c r="R645" s="5">
        <v>-0.2</v>
      </c>
    </row>
    <row r="646" spans="12:18" x14ac:dyDescent="0.25">
      <c r="L646" s="33">
        <v>642</v>
      </c>
      <c r="M646" s="33" t="s">
        <v>1372</v>
      </c>
      <c r="N646" s="34" t="s">
        <v>1373</v>
      </c>
      <c r="O646" s="36">
        <v>2204</v>
      </c>
      <c r="P646" s="35">
        <v>6.9060240498903462E-4</v>
      </c>
      <c r="Q646" s="28" t="s">
        <v>100</v>
      </c>
      <c r="R646" s="5">
        <v>-0.2</v>
      </c>
    </row>
    <row r="647" spans="12:18" x14ac:dyDescent="0.25">
      <c r="L647" s="33">
        <v>643</v>
      </c>
      <c r="M647" s="33" t="s">
        <v>1374</v>
      </c>
      <c r="N647" s="34" t="s">
        <v>1375</v>
      </c>
      <c r="O647" s="36">
        <v>2186</v>
      </c>
      <c r="P647" s="35">
        <v>6.8496227645464141E-4</v>
      </c>
      <c r="Q647" s="28" t="s">
        <v>100</v>
      </c>
      <c r="R647" s="5">
        <v>-0.2</v>
      </c>
    </row>
    <row r="648" spans="12:18" x14ac:dyDescent="0.25">
      <c r="L648" s="33">
        <v>644</v>
      </c>
      <c r="M648" s="33" t="s">
        <v>1376</v>
      </c>
      <c r="N648" s="34" t="s">
        <v>1377</v>
      </c>
      <c r="O648" s="36">
        <v>2172</v>
      </c>
      <c r="P648" s="35">
        <v>6.8057550981678004E-4</v>
      </c>
      <c r="Q648" s="28" t="s">
        <v>100</v>
      </c>
      <c r="R648" s="5">
        <v>-0.2</v>
      </c>
    </row>
    <row r="649" spans="12:18" x14ac:dyDescent="0.25">
      <c r="L649" s="33">
        <v>645</v>
      </c>
      <c r="M649" s="33" t="s">
        <v>1378</v>
      </c>
      <c r="N649" s="34" t="s">
        <v>41</v>
      </c>
      <c r="O649" s="36">
        <v>2161</v>
      </c>
      <c r="P649" s="35">
        <v>6.7712876460131752E-4</v>
      </c>
      <c r="Q649" s="28" t="s">
        <v>100</v>
      </c>
      <c r="R649" s="5">
        <v>-0.2</v>
      </c>
    </row>
    <row r="650" spans="12:18" x14ac:dyDescent="0.25">
      <c r="L650" s="33">
        <v>646</v>
      </c>
      <c r="M650" s="33" t="s">
        <v>1379</v>
      </c>
      <c r="N650" s="34" t="s">
        <v>1380</v>
      </c>
      <c r="O650" s="36">
        <v>2154</v>
      </c>
      <c r="P650" s="35">
        <v>6.7493538128238684E-4</v>
      </c>
      <c r="Q650" s="28" t="s">
        <v>100</v>
      </c>
      <c r="R650" s="5">
        <v>-0.2</v>
      </c>
    </row>
    <row r="651" spans="12:18" x14ac:dyDescent="0.25">
      <c r="L651" s="33">
        <v>647</v>
      </c>
      <c r="M651" s="33" t="s">
        <v>1381</v>
      </c>
      <c r="N651" s="34" t="s">
        <v>1382</v>
      </c>
      <c r="O651" s="36">
        <v>2146</v>
      </c>
      <c r="P651" s="35">
        <v>6.7242865748932317E-4</v>
      </c>
      <c r="Q651" s="28" t="s">
        <v>100</v>
      </c>
      <c r="R651" s="5">
        <v>-0.2</v>
      </c>
    </row>
    <row r="652" spans="12:18" x14ac:dyDescent="0.25">
      <c r="L652" s="33">
        <v>648</v>
      </c>
      <c r="M652" s="33" t="s">
        <v>1383</v>
      </c>
      <c r="N652" s="34" t="s">
        <v>1384</v>
      </c>
      <c r="O652" s="36">
        <v>2141</v>
      </c>
      <c r="P652" s="35">
        <v>6.7086195511865834E-4</v>
      </c>
      <c r="Q652" s="28" t="s">
        <v>100</v>
      </c>
      <c r="R652" s="5">
        <v>-0.2</v>
      </c>
    </row>
    <row r="653" spans="12:18" x14ac:dyDescent="0.25">
      <c r="L653" s="33">
        <v>649</v>
      </c>
      <c r="M653" s="33" t="s">
        <v>1385</v>
      </c>
      <c r="N653" s="34" t="s">
        <v>1386</v>
      </c>
      <c r="O653" s="36">
        <v>2115</v>
      </c>
      <c r="P653" s="35">
        <v>6.6271510279120158E-4</v>
      </c>
      <c r="Q653" s="28" t="s">
        <v>100</v>
      </c>
      <c r="R653" s="5">
        <v>-0.2</v>
      </c>
    </row>
    <row r="654" spans="12:18" x14ac:dyDescent="0.25">
      <c r="L654" s="33">
        <v>650</v>
      </c>
      <c r="M654" s="33" t="s">
        <v>1387</v>
      </c>
      <c r="N654" s="34" t="s">
        <v>1388</v>
      </c>
      <c r="O654" s="36">
        <v>2112</v>
      </c>
      <c r="P654" s="35">
        <v>6.6177508136880262E-4</v>
      </c>
      <c r="Q654" s="28" t="s">
        <v>100</v>
      </c>
      <c r="R654" s="5">
        <v>-0.2</v>
      </c>
    </row>
    <row r="655" spans="12:18" x14ac:dyDescent="0.25">
      <c r="L655" s="33">
        <v>651</v>
      </c>
      <c r="M655" s="33" t="s">
        <v>1389</v>
      </c>
      <c r="N655" s="34" t="s">
        <v>1390</v>
      </c>
      <c r="O655" s="36">
        <v>2089</v>
      </c>
      <c r="P655" s="35">
        <v>6.545682504637447E-4</v>
      </c>
      <c r="Q655" s="28" t="s">
        <v>100</v>
      </c>
      <c r="R655" s="5">
        <v>-0.2</v>
      </c>
    </row>
    <row r="656" spans="12:18" x14ac:dyDescent="0.25">
      <c r="L656" s="33">
        <v>652</v>
      </c>
      <c r="M656" s="33" t="s">
        <v>1391</v>
      </c>
      <c r="N656" s="34" t="s">
        <v>1392</v>
      </c>
      <c r="O656" s="36">
        <v>2059</v>
      </c>
      <c r="P656" s="35">
        <v>6.4516803623975599E-4</v>
      </c>
      <c r="Q656" s="28" t="s">
        <v>100</v>
      </c>
      <c r="R656" s="5">
        <v>-0.2</v>
      </c>
    </row>
    <row r="657" spans="12:18" x14ac:dyDescent="0.25">
      <c r="L657" s="33">
        <v>653</v>
      </c>
      <c r="M657" s="33" t="s">
        <v>1393</v>
      </c>
      <c r="N657" s="34" t="s">
        <v>1394</v>
      </c>
      <c r="O657" s="36">
        <v>2054</v>
      </c>
      <c r="P657" s="35">
        <v>6.4360133386909127E-4</v>
      </c>
      <c r="Q657" s="28" t="s">
        <v>100</v>
      </c>
      <c r="R657" s="5">
        <v>-0.2</v>
      </c>
    </row>
    <row r="658" spans="12:18" x14ac:dyDescent="0.25">
      <c r="L658" s="33">
        <v>654</v>
      </c>
      <c r="M658" s="33" t="s">
        <v>1395</v>
      </c>
      <c r="N658" s="34" t="s">
        <v>1396</v>
      </c>
      <c r="O658" s="36">
        <v>2034</v>
      </c>
      <c r="P658" s="35">
        <v>6.373345243864321E-4</v>
      </c>
      <c r="Q658" s="28" t="s">
        <v>100</v>
      </c>
      <c r="R658" s="5">
        <v>-0.2</v>
      </c>
    </row>
    <row r="659" spans="12:18" x14ac:dyDescent="0.25">
      <c r="L659" s="33">
        <v>655</v>
      </c>
      <c r="M659" s="33" t="s">
        <v>1397</v>
      </c>
      <c r="N659" s="34" t="s">
        <v>1398</v>
      </c>
      <c r="O659" s="36">
        <v>2030</v>
      </c>
      <c r="P659" s="35">
        <v>6.3608116248990026E-4</v>
      </c>
      <c r="Q659" s="28" t="s">
        <v>100</v>
      </c>
      <c r="R659" s="5">
        <v>-0.2</v>
      </c>
    </row>
    <row r="660" spans="12:18" x14ac:dyDescent="0.25">
      <c r="L660" s="33">
        <v>656</v>
      </c>
      <c r="M660" s="33" t="s">
        <v>1399</v>
      </c>
      <c r="N660" s="34" t="s">
        <v>1400</v>
      </c>
      <c r="O660" s="36">
        <v>1998</v>
      </c>
      <c r="P660" s="35">
        <v>6.2605426731764569E-4</v>
      </c>
      <c r="Q660" s="28" t="s">
        <v>100</v>
      </c>
      <c r="R660" s="5">
        <v>-0.2</v>
      </c>
    </row>
    <row r="661" spans="12:18" x14ac:dyDescent="0.25">
      <c r="L661" s="33">
        <v>657</v>
      </c>
      <c r="M661" s="33" t="s">
        <v>1401</v>
      </c>
      <c r="N661" s="34" t="s">
        <v>1402</v>
      </c>
      <c r="O661" s="36">
        <v>1997</v>
      </c>
      <c r="P661" s="35">
        <v>6.257409268435127E-4</v>
      </c>
      <c r="Q661" s="28" t="s">
        <v>100</v>
      </c>
      <c r="R661" s="5">
        <v>-0.2</v>
      </c>
    </row>
    <row r="662" spans="12:18" x14ac:dyDescent="0.25">
      <c r="L662" s="33">
        <v>658</v>
      </c>
      <c r="M662" s="33" t="s">
        <v>1403</v>
      </c>
      <c r="N662" s="37" t="s">
        <v>1404</v>
      </c>
      <c r="O662" s="36">
        <v>1921</v>
      </c>
      <c r="P662" s="35">
        <v>6.0192705080940815E-4</v>
      </c>
      <c r="Q662" s="28" t="s">
        <v>100</v>
      </c>
      <c r="R662" s="5">
        <v>-0.2</v>
      </c>
    </row>
    <row r="663" spans="12:18" x14ac:dyDescent="0.25">
      <c r="L663" s="33">
        <v>659</v>
      </c>
      <c r="M663" s="33" t="s">
        <v>1405</v>
      </c>
      <c r="N663" s="34" t="s">
        <v>1406</v>
      </c>
      <c r="O663" s="36">
        <v>1868</v>
      </c>
      <c r="P663" s="35">
        <v>5.8532000568036141E-4</v>
      </c>
      <c r="Q663" s="28" t="s">
        <v>100</v>
      </c>
      <c r="R663" s="5">
        <v>-0.2</v>
      </c>
    </row>
  </sheetData>
  <dataConsolidate link="1"/>
  <mergeCells count="5">
    <mergeCell ref="B5:B9"/>
    <mergeCell ref="C9:E9"/>
    <mergeCell ref="B10:B11"/>
    <mergeCell ref="B16:E16"/>
    <mergeCell ref="B17:E17"/>
  </mergeCells>
  <phoneticPr fontId="1" type="noConversion"/>
  <dataValidations count="4">
    <dataValidation type="list" allowBlank="1" showInputMessage="1" showErrorMessage="1" sqref="D6" xr:uid="{7F3239A0-EE41-4F5D-A8CE-BB16C23964E6}">
      <formula1>$Y$5:$Y$8</formula1>
    </dataValidation>
    <dataValidation type="list" allowBlank="1" showInputMessage="1" showErrorMessage="1" sqref="D11" xr:uid="{97C39A82-1817-485D-8A24-2409A7A14E4A}">
      <formula1>$N$5:$N$302</formula1>
    </dataValidation>
    <dataValidation type="list" allowBlank="1" showInputMessage="1" showErrorMessage="1" sqref="D13" xr:uid="{C6866DDC-1FD0-49E2-A8DC-96E49D5C0F9D}">
      <formula1>$U$12:$U$16</formula1>
    </dataValidation>
    <dataValidation type="list" allowBlank="1" showInputMessage="1" showErrorMessage="1" sqref="D5" xr:uid="{DDC785D7-E251-40ED-AB6D-123B069DDB33}">
      <formula1>$I$5:$I$24</formula1>
    </dataValidation>
  </dataValidations>
  <hyperlinks>
    <hyperlink ref="G5" r:id="rId1" xr:uid="{2043FCF8-E311-4601-A163-85B51B351E2C}"/>
    <hyperlink ref="G6" r:id="rId2" xr:uid="{EEB9425A-B332-419C-8978-F69FABFEF590}"/>
    <hyperlink ref="G7" r:id="rId3" xr:uid="{F6673E5D-06EE-4BE3-B092-70BAC2EF1686}"/>
    <hyperlink ref="G14" r:id="rId4" xr:uid="{840B5914-2E67-4E9A-A13B-38BB8DB1FFC2}"/>
  </hyperlinks>
  <pageMargins left="0.7" right="0.7" top="0.75" bottom="0.75" header="0.3" footer="0.3"/>
  <tableParts count="4"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FCEF8E-E26D-4DFE-8D67-E59CE5E531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정형_데이터_진단_검사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MyungGwan Kim</dc:creator>
  <cp:lastModifiedBy>MyungGwan Kim</cp:lastModifiedBy>
  <dcterms:created xsi:type="dcterms:W3CDTF">2022-08-04T00:42:08Z</dcterms:created>
  <dcterms:modified xsi:type="dcterms:W3CDTF">2025-11-16T06:17:45Z</dcterms:modified>
</cp:coreProperties>
</file>